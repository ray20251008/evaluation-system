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評分標準與說明" sheetId="1" state="visible" r:id="rId1"/>
    <sheet name="Q1評量打分" sheetId="2" state="visible" r:id="rId2"/>
    <sheet name="Q2評量打分" sheetId="3" state="visible" r:id="rId3"/>
    <sheet name="Q3評量打分" sheetId="4" state="visible" r:id="rId4"/>
    <sheet name="Q4評量打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+0;-0;0"/>
    <numFmt numFmtId="167" formatCode="+0.0%;-0.0%;0.0%"/>
  </numFmts>
  <fonts count="14">
    <font>
      <name val="Calibri"/>
      <family val="2"/>
      <color theme="1"/>
      <sz val="11"/>
      <scheme val="minor"/>
    </font>
    <font>
      <name val="微軟正黑體"/>
      <b val="1"/>
      <color rgb="00FFFFFF"/>
      <sz val="15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FFFFFF"/>
      <sz val="14"/>
    </font>
    <font>
      <name val="微軟正黑體"/>
      <b val="1"/>
      <color rgb="00312E81"/>
      <sz val="10"/>
    </font>
    <font>
      <name val="微軟正黑體"/>
      <b val="1"/>
      <color rgb="00FFFFFF"/>
      <sz val="10"/>
    </font>
    <font>
      <name val="微軟正黑體"/>
      <color rgb="00FFFFFF"/>
      <sz val="8"/>
    </font>
    <font>
      <name val="微軟正黑體"/>
      <b val="1"/>
      <sz val="11"/>
    </font>
    <font>
      <name val="微軟正黑體"/>
      <sz val="9"/>
    </font>
    <font>
      <name val="微軟正黑體"/>
      <b val="1"/>
      <sz val="9"/>
    </font>
    <font>
      <name val="微軟正黑體"/>
      <b val="1"/>
      <sz val="10"/>
    </font>
    <font>
      <name val="微軟正黑體"/>
      <b val="1"/>
      <color rgb="00166534"/>
      <sz val="10"/>
    </font>
    <font>
      <name val="微軟正黑體"/>
      <b val="1"/>
      <color rgb="00312E81"/>
      <sz val="11"/>
    </font>
  </fonts>
  <fills count="9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312E8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12" fillId="8" borderId="1" applyAlignment="1" pivotButton="0" quotePrefix="0" xfId="0">
      <alignment horizontal="center" vertical="center"/>
    </xf>
    <xf numFmtId="167" fontId="12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7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3" fillId="0" borderId="0" pivotButton="0" quotePrefix="0" xfId="0"/>
    <xf numFmtId="0" fontId="9" fillId="0" borderId="1" applyAlignment="1" pivotButton="0" quotePrefix="0" xfId="0">
      <alignment horizont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24" customWidth="1" min="4" max="4"/>
    <col width="12" customWidth="1" min="5" max="5"/>
    <col width="35" customWidth="1" min="6" max="6"/>
  </cols>
  <sheetData>
    <row r="1">
      <c r="A1" s="1" t="inlineStr">
        <is>
          <t>瑞翔社區日間作業所 - 116年度終身學習領域四季主題學習檢核表 (含範例分析)</t>
        </is>
      </c>
    </row>
    <row r="2"/>
    <row r="4">
      <c r="A4" s="2" t="inlineStr">
        <is>
          <t>分數</t>
        </is>
      </c>
      <c r="B4" s="2" t="inlineStr">
        <is>
          <t>提示等級代碼</t>
        </is>
      </c>
      <c r="C4" s="2" t="inlineStr">
        <is>
          <t>評分等級判定標準</t>
        </is>
      </c>
      <c r="D4" s="2" t="inlineStr">
        <is>
          <t>自立能力階段</t>
        </is>
      </c>
      <c r="E4" s="2" t="inlineStr">
        <is>
          <t>代表色彩</t>
        </is>
      </c>
      <c r="F4" s="2" t="inlineStr">
        <is>
          <t>個別化支持策略</t>
        </is>
      </c>
    </row>
    <row r="5">
      <c r="A5" s="3" t="n">
        <v>5</v>
      </c>
      <c r="B5" s="3" t="inlineStr">
        <is>
          <t>獨立完成 (＋)</t>
        </is>
      </c>
      <c r="C5" s="4" t="inlineStr">
        <is>
          <t>不需要任何提示，能主動且正確無誤地完成完整工作分析步驟。</t>
        </is>
      </c>
      <c r="D5" s="3" t="inlineStr">
        <is>
          <t>🟢 獨立完成 (4.5~5.0分)</t>
        </is>
      </c>
      <c r="E5" s="3" t="inlineStr">
        <is>
          <t>綠色</t>
        </is>
      </c>
      <c r="F5" s="4" t="inlineStr">
        <is>
          <t>達到完全自立水準，可擔任同儕示範小幫手</t>
        </is>
      </c>
    </row>
    <row r="6">
      <c r="A6" s="5" t="n">
        <v>4</v>
      </c>
      <c r="B6" s="5" t="inlineStr">
        <is>
          <t>口語提醒 (Ｖ)</t>
        </is>
      </c>
      <c r="C6" s="6" t="inlineStr">
        <is>
          <t>支持者給予口頭提醒（如：「線材要怎麼收？」）即可正確完成。</t>
        </is>
      </c>
      <c r="D6" s="5" t="inlineStr">
        <is>
          <t>🔵 口語提醒 (3.5~4.4分)</t>
        </is>
      </c>
      <c r="E6" s="5" t="inlineStr">
        <is>
          <t>藍色</t>
        </is>
      </c>
      <c r="F6" s="6" t="inlineStr">
        <is>
          <t>達到基本自立達標標準，需持續維持習慣</t>
        </is>
      </c>
    </row>
    <row r="7">
      <c r="A7" s="3" t="n">
        <v>3</v>
      </c>
      <c r="B7" s="3" t="inlineStr">
        <is>
          <t>肢體協助 (Ｐ)</t>
        </is>
      </c>
      <c r="C7" s="4" t="inlineStr">
        <is>
          <t>需要支持者給予部分肢體引導或輕碰示範（如手把手帶領）才能完成。</t>
        </is>
      </c>
      <c r="D7" s="3" t="inlineStr">
        <is>
          <t>🟡 肢體協助 (2.5~3.4分)</t>
        </is>
      </c>
      <c r="E7" s="3" t="inlineStr">
        <is>
          <t>黃色</t>
        </is>
      </c>
      <c r="F7" s="4" t="inlineStr">
        <is>
          <t>需日常持續操作練習，拆解難點步驟</t>
        </is>
      </c>
    </row>
    <row r="8">
      <c r="A8" s="5" t="n">
        <v>2</v>
      </c>
      <c r="B8" s="5" t="inlineStr">
        <is>
          <t>部分協助 (Ｐ)</t>
        </is>
      </c>
      <c r="C8" s="6" t="inlineStr">
        <is>
          <t>需支持者協助操作超過一半或關鍵步驟才能完成。</t>
        </is>
      </c>
      <c r="D8" s="5" t="inlineStr">
        <is>
          <t>🟡 部分協助 (2.0~2.4分)</t>
        </is>
      </c>
      <c r="E8" s="5" t="inlineStr">
        <is>
          <t>橙色</t>
        </is>
      </c>
      <c r="F8" s="6" t="inlineStr">
        <is>
          <t>需個別化結構化圖卡輔助</t>
        </is>
      </c>
    </row>
    <row r="9">
      <c r="A9" s="3" t="n">
        <v>1</v>
      </c>
      <c r="B9" s="3" t="inlineStr">
        <is>
          <t>尚未學會 (－)</t>
        </is>
      </c>
      <c r="C9" s="4" t="inlineStr">
        <is>
          <t>大部分步驟由支持者代為操作，使用者僅能參與極少部分或大量協助。</t>
        </is>
      </c>
      <c r="D9" s="3" t="inlineStr">
        <is>
          <t>🟠 尚未學會 (1.0~1.9分)</t>
        </is>
      </c>
      <c r="E9" s="3" t="inlineStr">
        <is>
          <t>紅橙色</t>
        </is>
      </c>
      <c r="F9" s="4" t="inlineStr">
        <is>
          <t>需支持者全程密集陪伴與動機引導</t>
        </is>
      </c>
    </row>
    <row r="10">
      <c r="A10" s="5" t="n">
        <v>0</v>
      </c>
      <c r="B10" s="5" t="inlineStr">
        <is>
          <t>無法配合 (－)</t>
        </is>
      </c>
      <c r="C10" s="6" t="inlineStr">
        <is>
          <t>即使提供大量協助仍無法完成或拒絕配合操作。</t>
        </is>
      </c>
      <c r="D10" s="5" t="inlineStr">
        <is>
          <t>🔴 引導探索 (0.0~0.9分)</t>
        </is>
      </c>
      <c r="E10" s="5" t="inlineStr">
        <is>
          <t>紅色</t>
        </is>
      </c>
      <c r="F10" s="6" t="inlineStr">
        <is>
          <t>需建立操作意願與環境適應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18" customWidth="1" min="8" max="8"/>
    <col width="10" customWidth="1" min="9" max="9"/>
    <col width="11" customWidth="1" min="10" max="10"/>
    <col width="11" customWidth="1" min="11" max="11"/>
    <col width="13" customWidth="1" min="12" max="12"/>
  </cols>
  <sheetData>
    <row r="1">
      <c r="A1" s="7" t="inlineStr">
        <is>
          <t>瑞翔日間作業所 116年度終身學習 - 第一季 (1~3月)：生活常規、作息適應與自我倡議</t>
        </is>
      </c>
    </row>
    <row r="2"/>
    <row r="3">
      <c r="A3" s="8" t="inlineStr">
        <is>
          <t>【提示等級說明】5:獨立完成(＋) ｜ 4:口語提醒(Ｖ) ｜ 3:肢體協助(Ｐ) ｜ 2:部分協助 ｜ 1:尚未學會(－) ｜ 0:無法配合</t>
        </is>
      </c>
    </row>
    <row r="4">
      <c r="A4" s="9" t="inlineStr">
        <is>
          <t>學員姓名</t>
        </is>
      </c>
      <c r="B4" s="9" t="inlineStr">
        <is>
          <t>評量階段</t>
        </is>
      </c>
      <c r="C4" s="10" t="inlineStr">
        <is>
          <t>指標 1</t>
        </is>
      </c>
      <c r="D4" s="10" t="inlineStr">
        <is>
          <t>指標 2</t>
        </is>
      </c>
      <c r="E4" s="10" t="inlineStr">
        <is>
          <t>指標 3</t>
        </is>
      </c>
      <c r="F4" s="11" t="inlineStr">
        <is>
          <t>總得分</t>
        </is>
      </c>
      <c r="G4" s="11" t="inlineStr">
        <is>
          <t>平均分</t>
        </is>
      </c>
      <c r="H4" s="11" t="inlineStr">
        <is>
          <t>學習自立階段</t>
        </is>
      </c>
      <c r="I4" s="11" t="inlineStr">
        <is>
          <t>達成率</t>
        </is>
      </c>
      <c r="J4" s="11" t="inlineStr">
        <is>
          <t>進步分數</t>
        </is>
      </c>
      <c r="K4" s="11" t="inlineStr">
        <is>
          <t>進步率</t>
        </is>
      </c>
      <c r="L4" s="11" t="inlineStr">
        <is>
          <t>成長百分點</t>
        </is>
      </c>
    </row>
    <row r="5">
      <c r="C5" s="12" t="inlineStr">
        <is>
          <t>(0~5分)</t>
        </is>
      </c>
      <c r="D5" s="12" t="inlineStr">
        <is>
          <t>(0~5分)</t>
        </is>
      </c>
      <c r="E5" s="12" t="inlineStr">
        <is>
          <t>(0~5分)</t>
        </is>
      </c>
      <c r="F5" s="13" t="inlineStr">
        <is>
          <t>(滿分15)</t>
        </is>
      </c>
      <c r="G5" s="13" t="inlineStr">
        <is>
          <t>(0~5分)</t>
        </is>
      </c>
      <c r="H5" s="13" t="inlineStr">
        <is>
          <t>(等級標記)</t>
        </is>
      </c>
      <c r="I5" s="13" t="inlineStr">
        <is>
          <t>(%)</t>
        </is>
      </c>
      <c r="J5" s="13" t="inlineStr">
        <is>
          <t>(後-前)</t>
        </is>
      </c>
      <c r="K5" s="13" t="inlineStr">
        <is>
          <t>(%)</t>
        </is>
      </c>
      <c r="L5" s="13" t="inlineStr">
        <is>
          <t>(%pt)</t>
        </is>
      </c>
    </row>
    <row r="6">
      <c r="A6" s="14" t="inlineStr">
        <is>
          <t>宇彤</t>
        </is>
      </c>
      <c r="B6" s="15" t="inlineStr">
        <is>
          <t>1. 前測 (第1月)</t>
        </is>
      </c>
      <c r="C6" s="16" t="n">
        <v>3</v>
      </c>
      <c r="D6" s="16" t="n">
        <v>3</v>
      </c>
      <c r="E6" s="16" t="n">
        <v>3</v>
      </c>
      <c r="F6" s="17">
        <f>IF(COUNT(C6:E6)&gt;0, SUM(C6:E6), "")</f>
        <v/>
      </c>
      <c r="G6" s="18">
        <f>IF(COUNT(C6:E6)&gt;0, AVERAGE(C6:E6), "")</f>
        <v/>
      </c>
      <c r="H6" s="19">
        <f>IF(G6="","",IF(G6&gt;=4.5,"🟢 獨立完成",IF(G6&gt;=3.5,"🔵 口語提醒",IF(G6&gt;=2.0,"🟡 肢體/部分協助","🟠 尚未學會"))))</f>
        <v/>
      </c>
      <c r="I6" s="20">
        <f>IF(ISNUMBER(F6), F6/15, "")</f>
        <v/>
      </c>
      <c r="J6" s="21">
        <f>IF(AND(ISNUMBER(F6), ISNUMBER(F8)), F8-F6, "")</f>
        <v/>
      </c>
      <c r="K6" s="22">
        <f>IF(AND(ISNUMBER(F6), ISNUMBER(F8)), IF(F6&gt;0, (F8-F6)/F6, (F8-F6)/15), "")</f>
        <v/>
      </c>
      <c r="L6" s="22">
        <f>IF(AND(ISNUMBER(I6), ISNUMBER(I8)), I8-I6, "")</f>
        <v/>
      </c>
    </row>
    <row r="7">
      <c r="A7" s="23" t="n"/>
      <c r="B7" s="24" t="inlineStr">
        <is>
          <t>2. 課堂 (第2月)</t>
        </is>
      </c>
      <c r="C7" s="16" t="n">
        <v>4</v>
      </c>
      <c r="D7" s="16" t="n">
        <v>4</v>
      </c>
      <c r="E7" s="16" t="n">
        <v>4</v>
      </c>
      <c r="F7" s="17">
        <f>IF(COUNT(C7:E7)&gt;0, SUM(C7:E7), "")</f>
        <v/>
      </c>
      <c r="G7" s="18">
        <f>IF(COUNT(C7:E7)&gt;0, AVERAGE(C7:E7), "")</f>
        <v/>
      </c>
      <c r="H7" s="19">
        <f>IF(G7="","",IF(G7&gt;=4.5,"🟢 獨立完成",IF(G7&gt;=3.5,"🔵 口語提醒",IF(G7&gt;=2.0,"🟡 肢體/部分協助","🟠 尚未學會"))))</f>
        <v/>
      </c>
      <c r="I7" s="20">
        <f>IF(ISNUMBER(F7), F7/15, "")</f>
        <v/>
      </c>
      <c r="J7" s="23" t="n"/>
      <c r="K7" s="23" t="n"/>
      <c r="L7" s="23" t="n"/>
    </row>
    <row r="8">
      <c r="A8" s="23" t="n"/>
      <c r="B8" s="25" t="inlineStr">
        <is>
          <t>3. 後測 (第3月)</t>
        </is>
      </c>
      <c r="C8" s="16" t="n">
        <v>5</v>
      </c>
      <c r="D8" s="16" t="n">
        <v>4</v>
      </c>
      <c r="E8" s="16" t="n">
        <v>5</v>
      </c>
      <c r="F8" s="17">
        <f>IF(COUNT(C8:E8)&gt;0, SUM(C8:E8), "")</f>
        <v/>
      </c>
      <c r="G8" s="18">
        <f>IF(COUNT(C8:E8)&gt;0, AVERAGE(C8:E8), "")</f>
        <v/>
      </c>
      <c r="H8" s="19">
        <f>IF(G8="","",IF(G8&gt;=4.5,"🟢 獨立完成",IF(G8&gt;=3.5,"🔵 口語提醒",IF(G8&gt;=2.0,"🟡 肢體/部分協助","🟠 尚未學會"))))</f>
        <v/>
      </c>
      <c r="I8" s="20">
        <f>IF(ISNUMBER(F8), F8/15, "")</f>
        <v/>
      </c>
      <c r="J8" s="23" t="n"/>
      <c r="K8" s="23" t="n"/>
      <c r="L8" s="23" t="n"/>
    </row>
    <row r="9">
      <c r="A9" s="14" t="inlineStr">
        <is>
          <t>育萱</t>
        </is>
      </c>
      <c r="B9" s="15" t="inlineStr">
        <is>
          <t>1. 前測 (第1月)</t>
        </is>
      </c>
      <c r="C9" s="16" t="n">
        <v>4</v>
      </c>
      <c r="D9" s="16" t="n">
        <v>4</v>
      </c>
      <c r="E9" s="16" t="n">
        <v>4</v>
      </c>
      <c r="F9" s="17">
        <f>IF(COUNT(C9:E9)&gt;0, SUM(C9:E9), "")</f>
        <v/>
      </c>
      <c r="G9" s="18">
        <f>IF(COUNT(C9:E9)&gt;0, AVERAGE(C9:E9), "")</f>
        <v/>
      </c>
      <c r="H9" s="19">
        <f>IF(G9="","",IF(G9&gt;=4.5,"🟢 獨立完成",IF(G9&gt;=3.5,"🔵 口語提醒",IF(G9&gt;=2.0,"🟡 肢體/部分協助","🟠 尚未學會"))))</f>
        <v/>
      </c>
      <c r="I9" s="20">
        <f>IF(ISNUMBER(F9), F9/15, "")</f>
        <v/>
      </c>
      <c r="J9" s="21">
        <f>IF(AND(ISNUMBER(F9), ISNUMBER(F11)), F11-F9, "")</f>
        <v/>
      </c>
      <c r="K9" s="22">
        <f>IF(AND(ISNUMBER(F9), ISNUMBER(F11)), IF(F9&gt;0, (F11-F9)/F9, (F11-F9)/15), "")</f>
        <v/>
      </c>
      <c r="L9" s="22">
        <f>IF(AND(ISNUMBER(I9), ISNUMBER(I11)), I11-I9, "")</f>
        <v/>
      </c>
    </row>
    <row r="10">
      <c r="A10" s="23" t="n"/>
      <c r="B10" s="24" t="inlineStr">
        <is>
          <t>2. 課堂 (第2月)</t>
        </is>
      </c>
      <c r="C10" s="16" t="n">
        <v>4</v>
      </c>
      <c r="D10" s="16" t="n">
        <v>5</v>
      </c>
      <c r="E10" s="16" t="n">
        <v>5</v>
      </c>
      <c r="F10" s="17">
        <f>IF(COUNT(C10:E10)&gt;0, SUM(C10:E10), "")</f>
        <v/>
      </c>
      <c r="G10" s="18">
        <f>IF(COUNT(C10:E10)&gt;0, AVERAGE(C10:E10), "")</f>
        <v/>
      </c>
      <c r="H10" s="19">
        <f>IF(G10="","",IF(G10&gt;=4.5,"🟢 獨立完成",IF(G10&gt;=3.5,"🔵 口語提醒",IF(G10&gt;=2.0,"🟡 肢體/部分協助","🟠 尚未學會"))))</f>
        <v/>
      </c>
      <c r="I10" s="20">
        <f>IF(ISNUMBER(F10), F10/15, "")</f>
        <v/>
      </c>
      <c r="J10" s="23" t="n"/>
      <c r="K10" s="23" t="n"/>
      <c r="L10" s="23" t="n"/>
    </row>
    <row r="11">
      <c r="A11" s="23" t="n"/>
      <c r="B11" s="25" t="inlineStr">
        <is>
          <t>3. 後測 (第3月)</t>
        </is>
      </c>
      <c r="C11" s="16" t="n">
        <v>5</v>
      </c>
      <c r="D11" s="16" t="n">
        <v>5</v>
      </c>
      <c r="E11" s="16" t="n">
        <v>5</v>
      </c>
      <c r="F11" s="17">
        <f>IF(COUNT(C11:E11)&gt;0, SUM(C11:E11), "")</f>
        <v/>
      </c>
      <c r="G11" s="18">
        <f>IF(COUNT(C11:E11)&gt;0, AVERAGE(C11:E11), "")</f>
        <v/>
      </c>
      <c r="H11" s="19">
        <f>IF(G11="","",IF(G11&gt;=4.5,"🟢 獨立完成",IF(G11&gt;=3.5,"🔵 口語提醒",IF(G11&gt;=2.0,"🟡 肢體/部分協助","🟠 尚未學會"))))</f>
        <v/>
      </c>
      <c r="I11" s="20">
        <f>IF(ISNUMBER(F11), F11/15, "")</f>
        <v/>
      </c>
      <c r="J11" s="23" t="n"/>
      <c r="K11" s="23" t="n"/>
      <c r="L11" s="23" t="n"/>
    </row>
    <row r="12">
      <c r="A12" s="14" t="inlineStr">
        <is>
          <t>高齊</t>
        </is>
      </c>
      <c r="B12" s="15" t="inlineStr">
        <is>
          <t>1. 前測 (第1月)</t>
        </is>
      </c>
      <c r="C12" s="16" t="n">
        <v>2</v>
      </c>
      <c r="D12" s="16" t="n">
        <v>2</v>
      </c>
      <c r="E12" s="16" t="n">
        <v>2</v>
      </c>
      <c r="F12" s="17">
        <f>IF(COUNT(C12:E12)&gt;0, SUM(C12:E12), "")</f>
        <v/>
      </c>
      <c r="G12" s="18">
        <f>IF(COUNT(C12:E12)&gt;0, AVERAGE(C12:E12), "")</f>
        <v/>
      </c>
      <c r="H12" s="19">
        <f>IF(G12="","",IF(G12&gt;=4.5,"🟢 獨立完成",IF(G12&gt;=3.5,"🔵 口語提醒",IF(G12&gt;=2.0,"🟡 肢體/部分協助","🟠 尚未學會"))))</f>
        <v/>
      </c>
      <c r="I12" s="20">
        <f>IF(ISNUMBER(F12), F12/15, "")</f>
        <v/>
      </c>
      <c r="J12" s="21">
        <f>IF(AND(ISNUMBER(F12), ISNUMBER(F14)), F14-F12, "")</f>
        <v/>
      </c>
      <c r="K12" s="22">
        <f>IF(AND(ISNUMBER(F12), ISNUMBER(F14)), IF(F12&gt;0, (F14-F12)/F12, (F14-F12)/15), "")</f>
        <v/>
      </c>
      <c r="L12" s="22">
        <f>IF(AND(ISNUMBER(I12), ISNUMBER(I14)), I14-I12, "")</f>
        <v/>
      </c>
    </row>
    <row r="13">
      <c r="A13" s="23" t="n"/>
      <c r="B13" s="24" t="inlineStr">
        <is>
          <t>2. 課堂 (第2月)</t>
        </is>
      </c>
      <c r="C13" s="16" t="n">
        <v>3</v>
      </c>
      <c r="D13" s="16" t="n">
        <v>3</v>
      </c>
      <c r="E13" s="16" t="n">
        <v>4</v>
      </c>
      <c r="F13" s="17">
        <f>IF(COUNT(C13:E13)&gt;0, SUM(C13:E13), "")</f>
        <v/>
      </c>
      <c r="G13" s="18">
        <f>IF(COUNT(C13:E13)&gt;0, AVERAGE(C13:E13), "")</f>
        <v/>
      </c>
      <c r="H13" s="19">
        <f>IF(G13="","",IF(G13&gt;=4.5,"🟢 獨立完成",IF(G13&gt;=3.5,"🔵 口語提醒",IF(G13&gt;=2.0,"🟡 肢體/部分協助","🟠 尚未學會"))))</f>
        <v/>
      </c>
      <c r="I13" s="20">
        <f>IF(ISNUMBER(F13), F13/15, "")</f>
        <v/>
      </c>
      <c r="J13" s="23" t="n"/>
      <c r="K13" s="23" t="n"/>
      <c r="L13" s="23" t="n"/>
    </row>
    <row r="14">
      <c r="A14" s="23" t="n"/>
      <c r="B14" s="25" t="inlineStr">
        <is>
          <t>3. 後測 (第3月)</t>
        </is>
      </c>
      <c r="C14" s="16" t="n">
        <v>4</v>
      </c>
      <c r="D14" s="16" t="n">
        <v>4</v>
      </c>
      <c r="E14" s="16" t="n">
        <v>4</v>
      </c>
      <c r="F14" s="17">
        <f>IF(COUNT(C14:E14)&gt;0, SUM(C14:E14), "")</f>
        <v/>
      </c>
      <c r="G14" s="18">
        <f>IF(COUNT(C14:E14)&gt;0, AVERAGE(C14:E14), "")</f>
        <v/>
      </c>
      <c r="H14" s="19">
        <f>IF(G14="","",IF(G14&gt;=4.5,"🟢 獨立完成",IF(G14&gt;=3.5,"🔵 口語提醒",IF(G14&gt;=2.0,"🟡 肢體/部分協助","🟠 尚未學會"))))</f>
        <v/>
      </c>
      <c r="I14" s="20">
        <f>IF(ISNUMBER(F14), F14/15, "")</f>
        <v/>
      </c>
      <c r="J14" s="23" t="n"/>
      <c r="K14" s="23" t="n"/>
      <c r="L14" s="23" t="n"/>
    </row>
    <row r="15">
      <c r="A15" s="14" t="inlineStr">
        <is>
          <t>芷嫻</t>
        </is>
      </c>
      <c r="B15" s="15" t="inlineStr">
        <is>
          <t>1. 前測 (第1月)</t>
        </is>
      </c>
      <c r="C15" s="16" t="n">
        <v>3</v>
      </c>
      <c r="D15" s="16" t="n">
        <v>3</v>
      </c>
      <c r="E15" s="16" t="n">
        <v>4</v>
      </c>
      <c r="F15" s="17">
        <f>IF(COUNT(C15:E15)&gt;0, SUM(C15:E15), "")</f>
        <v/>
      </c>
      <c r="G15" s="18">
        <f>IF(COUNT(C15:E15)&gt;0, AVERAGE(C15:E15), "")</f>
        <v/>
      </c>
      <c r="H15" s="19">
        <f>IF(G15="","",IF(G15&gt;=4.5,"🟢 獨立完成",IF(G15&gt;=3.5,"🔵 口語提醒",IF(G15&gt;=2.0,"🟡 肢體/部分協助","🟠 尚未學會"))))</f>
        <v/>
      </c>
      <c r="I15" s="20">
        <f>IF(ISNUMBER(F15), F15/15, "")</f>
        <v/>
      </c>
      <c r="J15" s="21">
        <f>IF(AND(ISNUMBER(F15), ISNUMBER(F17)), F17-F15, "")</f>
        <v/>
      </c>
      <c r="K15" s="22">
        <f>IF(AND(ISNUMBER(F15), ISNUMBER(F17)), IF(F15&gt;0, (F17-F15)/F15, (F17-F15)/15), "")</f>
        <v/>
      </c>
      <c r="L15" s="22">
        <f>IF(AND(ISNUMBER(I15), ISNUMBER(I17)), I17-I15, "")</f>
        <v/>
      </c>
    </row>
    <row r="16">
      <c r="A16" s="23" t="n"/>
      <c r="B16" s="24" t="inlineStr">
        <is>
          <t>2. 課堂 (第2月)</t>
        </is>
      </c>
      <c r="C16" s="16" t="n">
        <v>4</v>
      </c>
      <c r="D16" s="16" t="n">
        <v>4</v>
      </c>
      <c r="E16" s="16" t="n">
        <v>4</v>
      </c>
      <c r="F16" s="17">
        <f>IF(COUNT(C16:E16)&gt;0, SUM(C16:E16), "")</f>
        <v/>
      </c>
      <c r="G16" s="18">
        <f>IF(COUNT(C16:E16)&gt;0, AVERAGE(C16:E16), "")</f>
        <v/>
      </c>
      <c r="H16" s="19">
        <f>IF(G16="","",IF(G16&gt;=4.5,"🟢 獨立完成",IF(G16&gt;=3.5,"🔵 口語提醒",IF(G16&gt;=2.0,"🟡 肢體/部分協助","🟠 尚未學會"))))</f>
        <v/>
      </c>
      <c r="I16" s="20">
        <f>IF(ISNUMBER(F16), F16/15, "")</f>
        <v/>
      </c>
      <c r="J16" s="23" t="n"/>
      <c r="K16" s="23" t="n"/>
      <c r="L16" s="23" t="n"/>
    </row>
    <row r="17">
      <c r="A17" s="23" t="n"/>
      <c r="B17" s="25" t="inlineStr">
        <is>
          <t>3. 後測 (第3月)</t>
        </is>
      </c>
      <c r="C17" s="16" t="n">
        <v>5</v>
      </c>
      <c r="D17" s="16" t="n">
        <v>4</v>
      </c>
      <c r="E17" s="16" t="n">
        <v>5</v>
      </c>
      <c r="F17" s="17">
        <f>IF(COUNT(C17:E17)&gt;0, SUM(C17:E17), "")</f>
        <v/>
      </c>
      <c r="G17" s="18">
        <f>IF(COUNT(C17:E17)&gt;0, AVERAGE(C17:E17), "")</f>
        <v/>
      </c>
      <c r="H17" s="19">
        <f>IF(G17="","",IF(G17&gt;=4.5,"🟢 獨立完成",IF(G17&gt;=3.5,"🔵 口語提醒",IF(G17&gt;=2.0,"🟡 肢體/部分協助","🟠 尚未學會"))))</f>
        <v/>
      </c>
      <c r="I17" s="20">
        <f>IF(ISNUMBER(F17), F17/15, "")</f>
        <v/>
      </c>
      <c r="J17" s="23" t="n"/>
      <c r="K17" s="23" t="n"/>
      <c r="L17" s="23" t="n"/>
    </row>
    <row r="18">
      <c r="A18" s="14" t="inlineStr">
        <is>
          <t>志豪</t>
        </is>
      </c>
      <c r="B18" s="15" t="inlineStr">
        <is>
          <t>1. 前測 (第1月)</t>
        </is>
      </c>
      <c r="C18" s="16" t="n">
        <v>3</v>
      </c>
      <c r="D18" s="16" t="n">
        <v>2</v>
      </c>
      <c r="E18" s="16" t="n">
        <v>3</v>
      </c>
      <c r="F18" s="17">
        <f>IF(COUNT(C18:E18)&gt;0, SUM(C18:E18), "")</f>
        <v/>
      </c>
      <c r="G18" s="18">
        <f>IF(COUNT(C18:E18)&gt;0, AVERAGE(C18:E18), "")</f>
        <v/>
      </c>
      <c r="H18" s="19">
        <f>IF(G18="","",IF(G18&gt;=4.5,"🟢 獨立完成",IF(G18&gt;=3.5,"🔵 口語提醒",IF(G18&gt;=2.0,"🟡 肢體/部分協助","🟠 尚未學會"))))</f>
        <v/>
      </c>
      <c r="I18" s="20">
        <f>IF(ISNUMBER(F18), F18/15, "")</f>
        <v/>
      </c>
      <c r="J18" s="21">
        <f>IF(AND(ISNUMBER(F18), ISNUMBER(F20)), F20-F18, "")</f>
        <v/>
      </c>
      <c r="K18" s="22">
        <f>IF(AND(ISNUMBER(F18), ISNUMBER(F20)), IF(F18&gt;0, (F20-F18)/F18, (F20-F18)/15), "")</f>
        <v/>
      </c>
      <c r="L18" s="22">
        <f>IF(AND(ISNUMBER(I18), ISNUMBER(I20)), I20-I18, "")</f>
        <v/>
      </c>
    </row>
    <row r="19">
      <c r="A19" s="23" t="n"/>
      <c r="B19" s="24" t="inlineStr">
        <is>
          <t>2. 課堂 (第2月)</t>
        </is>
      </c>
      <c r="C19" s="16" t="n">
        <v>4</v>
      </c>
      <c r="D19" s="16" t="n">
        <v>3</v>
      </c>
      <c r="E19" s="16" t="n">
        <v>4</v>
      </c>
      <c r="F19" s="17">
        <f>IF(COUNT(C19:E19)&gt;0, SUM(C19:E19), "")</f>
        <v/>
      </c>
      <c r="G19" s="18">
        <f>IF(COUNT(C19:E19)&gt;0, AVERAGE(C19:E19), "")</f>
        <v/>
      </c>
      <c r="H19" s="19">
        <f>IF(G19="","",IF(G19&gt;=4.5,"🟢 獨立完成",IF(G19&gt;=3.5,"🔵 口語提醒",IF(G19&gt;=2.0,"🟡 肢體/部分協助","🟠 尚未學會"))))</f>
        <v/>
      </c>
      <c r="I19" s="20">
        <f>IF(ISNUMBER(F19), F19/15, "")</f>
        <v/>
      </c>
      <c r="J19" s="23" t="n"/>
      <c r="K19" s="23" t="n"/>
      <c r="L19" s="23" t="n"/>
    </row>
    <row r="20">
      <c r="A20" s="23" t="n"/>
      <c r="B20" s="25" t="inlineStr">
        <is>
          <t>3. 後測 (第3月)</t>
        </is>
      </c>
      <c r="C20" s="16" t="n">
        <v>4</v>
      </c>
      <c r="D20" s="16" t="n">
        <v>4</v>
      </c>
      <c r="E20" s="16" t="n">
        <v>4</v>
      </c>
      <c r="F20" s="17">
        <f>IF(COUNT(C20:E20)&gt;0, SUM(C20:E20), "")</f>
        <v/>
      </c>
      <c r="G20" s="18">
        <f>IF(COUNT(C20:E20)&gt;0, AVERAGE(C20:E20), "")</f>
        <v/>
      </c>
      <c r="H20" s="19">
        <f>IF(G20="","",IF(G20&gt;=4.5,"🟢 獨立完成",IF(G20&gt;=3.5,"🔵 口語提醒",IF(G20&gt;=2.0,"🟡 肢體/部分協助","🟠 尚未學會"))))</f>
        <v/>
      </c>
      <c r="I20" s="20">
        <f>IF(ISNUMBER(F20), F20/15, "")</f>
        <v/>
      </c>
      <c r="J20" s="23" t="n"/>
      <c r="K20" s="23" t="n"/>
      <c r="L20" s="23" t="n"/>
    </row>
    <row r="21">
      <c r="A21" s="14" t="inlineStr">
        <is>
          <t>雅婷</t>
        </is>
      </c>
      <c r="B21" s="15" t="inlineStr">
        <is>
          <t>1. 前測 (第1月)</t>
        </is>
      </c>
      <c r="C21" s="16" t="n">
        <v>3</v>
      </c>
      <c r="D21" s="16" t="n">
        <v>3</v>
      </c>
      <c r="E21" s="16" t="n">
        <v>3</v>
      </c>
      <c r="F21" s="17">
        <f>IF(COUNT(C21:E21)&gt;0, SUM(C21:E21), "")</f>
        <v/>
      </c>
      <c r="G21" s="18">
        <f>IF(COUNT(C21:E21)&gt;0, AVERAGE(C21:E21), "")</f>
        <v/>
      </c>
      <c r="H21" s="19">
        <f>IF(G21="","",IF(G21&gt;=4.5,"🟢 獨立完成",IF(G21&gt;=3.5,"🔵 口語提醒",IF(G21&gt;=2.0,"🟡 肢體/部分協助","🟠 尚未學會"))))</f>
        <v/>
      </c>
      <c r="I21" s="20">
        <f>IF(ISNUMBER(F21), F21/15, "")</f>
        <v/>
      </c>
      <c r="J21" s="21">
        <f>IF(AND(ISNUMBER(F21), ISNUMBER(F23)), F23-F21, "")</f>
        <v/>
      </c>
      <c r="K21" s="22">
        <f>IF(AND(ISNUMBER(F21), ISNUMBER(F23)), IF(F21&gt;0, (F23-F21)/F21, (F23-F21)/15), "")</f>
        <v/>
      </c>
      <c r="L21" s="22">
        <f>IF(AND(ISNUMBER(I21), ISNUMBER(I23)), I23-I21, "")</f>
        <v/>
      </c>
    </row>
    <row r="22">
      <c r="A22" s="23" t="n"/>
      <c r="B22" s="24" t="inlineStr">
        <is>
          <t>2. 課堂 (第2月)</t>
        </is>
      </c>
      <c r="C22" s="16" t="n">
        <v>4</v>
      </c>
      <c r="D22" s="16" t="n">
        <v>4</v>
      </c>
      <c r="E22" s="16" t="n">
        <v>4</v>
      </c>
      <c r="F22" s="17">
        <f>IF(COUNT(C22:E22)&gt;0, SUM(C22:E22), "")</f>
        <v/>
      </c>
      <c r="G22" s="18">
        <f>IF(COUNT(C22:E22)&gt;0, AVERAGE(C22:E22), "")</f>
        <v/>
      </c>
      <c r="H22" s="19">
        <f>IF(G22="","",IF(G22&gt;=4.5,"🟢 獨立完成",IF(G22&gt;=3.5,"🔵 口語提醒",IF(G22&gt;=2.0,"🟡 肢體/部分協助","🟠 尚未學會"))))</f>
        <v/>
      </c>
      <c r="I22" s="20">
        <f>IF(ISNUMBER(F22), F22/15, "")</f>
        <v/>
      </c>
      <c r="J22" s="23" t="n"/>
      <c r="K22" s="23" t="n"/>
      <c r="L22" s="23" t="n"/>
    </row>
    <row r="23">
      <c r="A23" s="23" t="n"/>
      <c r="B23" s="25" t="inlineStr">
        <is>
          <t>3. 後測 (第3月)</t>
        </is>
      </c>
      <c r="C23" s="16" t="n">
        <v>5</v>
      </c>
      <c r="D23" s="16" t="n">
        <v>5</v>
      </c>
      <c r="E23" s="16" t="n">
        <v>4</v>
      </c>
      <c r="F23" s="17">
        <f>IF(COUNT(C23:E23)&gt;0, SUM(C23:E23), "")</f>
        <v/>
      </c>
      <c r="G23" s="18">
        <f>IF(COUNT(C23:E23)&gt;0, AVERAGE(C23:E23), "")</f>
        <v/>
      </c>
      <c r="H23" s="19">
        <f>IF(G23="","",IF(G23&gt;=4.5,"🟢 獨立完成",IF(G23&gt;=3.5,"🔵 口語提醒",IF(G23&gt;=2.0,"🟡 肢體/部分協助","🟠 尚未學會"))))</f>
        <v/>
      </c>
      <c r="I23" s="20">
        <f>IF(ISNUMBER(F23), F23/15, "")</f>
        <v/>
      </c>
      <c r="J23" s="23" t="n"/>
      <c r="K23" s="23" t="n"/>
      <c r="L23" s="23" t="n"/>
    </row>
    <row r="24">
      <c r="A24" s="26" t="inlineStr">
        <is>
          <t>全班平均常模</t>
        </is>
      </c>
      <c r="C24" s="27">
        <f>IFERROR(AVERAGE(C6:C23), "-")</f>
        <v/>
      </c>
      <c r="D24" s="27">
        <f>IFERROR(AVERAGE(D6:D23), "-")</f>
        <v/>
      </c>
      <c r="E24" s="27">
        <f>IFERROR(AVERAGE(E6:E23), "-")</f>
        <v/>
      </c>
      <c r="F24" s="27">
        <f>IFERROR(AVERAGE(F6:F23), "-")</f>
        <v/>
      </c>
      <c r="G24" s="27">
        <f>IFERROR(AVERAGE(G6:G23), "-")</f>
        <v/>
      </c>
      <c r="H24" s="27" t="inlineStr">
        <is>
          <t>-</t>
        </is>
      </c>
      <c r="I24" s="27">
        <f>IFERROR(AVERAGE(I6:I23), "-")</f>
        <v/>
      </c>
      <c r="J24" s="27">
        <f>IFERROR(AVERAGE(J6:J23), "-")</f>
        <v/>
      </c>
      <c r="K24" s="27">
        <f>IFERROR(AVERAGE(K6:K23), "-")</f>
        <v/>
      </c>
      <c r="L24" s="27">
        <f>IFERROR(AVERAGE(L6:L23), "-")</f>
        <v/>
      </c>
    </row>
    <row r="27">
      <c r="A27" s="28" t="inlineStr">
        <is>
          <t>【Q1 檢核指標工作分析項目清單】</t>
        </is>
      </c>
    </row>
    <row r="28">
      <c r="A28" s="29" t="inlineStr">
        <is>
          <t>指標 1</t>
        </is>
      </c>
      <c r="B28" s="30" t="inlineStr">
        <is>
          <t>1. 能辨識小作所每日作息、週課表與停班停課資訊（如週六日休息、看新聞確認颱風假）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</row>
    <row r="29">
      <c r="A29" s="29" t="inlineStr">
        <is>
          <t>指標 2</t>
        </is>
      </c>
      <c r="B29" s="30" t="inlineStr">
        <is>
          <t>2. 理解作業活動與獎勵金制度之關聯（知道認真代工/手作可獲取獎勵金用於社區購物）</t>
        </is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</row>
    <row r="30">
      <c r="A30" s="29" t="inlineStr">
        <is>
          <t>指標 3</t>
        </is>
      </c>
      <c r="B30" s="30" t="inlineStr">
        <is>
          <t>3. 能主動表達個人身心需求、身體不適或善用意見箱與支持者/社工溝通傾訴</t>
        </is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</row>
  </sheetData>
  <mergeCells count="32">
    <mergeCell ref="A21:A23"/>
    <mergeCell ref="A24:B24"/>
    <mergeCell ref="A12:A14"/>
    <mergeCell ref="A3:L3"/>
    <mergeCell ref="L9:L11"/>
    <mergeCell ref="K6:K8"/>
    <mergeCell ref="J12:J14"/>
    <mergeCell ref="L6:L8"/>
    <mergeCell ref="J18:J20"/>
    <mergeCell ref="J21:J23"/>
    <mergeCell ref="L21:L23"/>
    <mergeCell ref="A1:L2"/>
    <mergeCell ref="A15:A17"/>
    <mergeCell ref="K15:K17"/>
    <mergeCell ref="K9:K11"/>
    <mergeCell ref="A9:A11"/>
    <mergeCell ref="K18:K20"/>
    <mergeCell ref="A4:A5"/>
    <mergeCell ref="K21:K23"/>
    <mergeCell ref="B29:L29"/>
    <mergeCell ref="B28:L28"/>
    <mergeCell ref="J6:J8"/>
    <mergeCell ref="A6:A8"/>
    <mergeCell ref="L12:L14"/>
    <mergeCell ref="J9:J11"/>
    <mergeCell ref="L18:L20"/>
    <mergeCell ref="B4:B5"/>
    <mergeCell ref="B30:L30"/>
    <mergeCell ref="J15:J17"/>
    <mergeCell ref="L15:L17"/>
    <mergeCell ref="K12:K14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8" customWidth="1" min="9" max="9"/>
    <col width="10" customWidth="1" min="10" max="10"/>
    <col width="11" customWidth="1" min="11" max="11"/>
    <col width="11" customWidth="1" min="12" max="12"/>
    <col width="13" customWidth="1" min="13" max="13"/>
  </cols>
  <sheetData>
    <row r="1">
      <c r="A1" s="7" t="inlineStr">
        <is>
          <t>瑞翔日間作業所 116年度終身學習 - 第二季 (4~6月)：居家清潔維護與家電用電安全</t>
        </is>
      </c>
    </row>
    <row r="2"/>
    <row r="3">
      <c r="A3" s="8" t="inlineStr">
        <is>
          <t>【提示等級說明】5:獨立完成(＋) ｜ 4:口語提醒(Ｖ) ｜ 3:肢體協助(Ｐ) ｜ 2:部分協助 ｜ 1:尚未學會(－) ｜ 0:無法配合</t>
        </is>
      </c>
    </row>
    <row r="4">
      <c r="A4" s="9" t="inlineStr">
        <is>
          <t>學員姓名</t>
        </is>
      </c>
      <c r="B4" s="9" t="inlineStr">
        <is>
          <t>評量階段</t>
        </is>
      </c>
      <c r="C4" s="10" t="inlineStr">
        <is>
          <t>指標 1</t>
        </is>
      </c>
      <c r="D4" s="10" t="inlineStr">
        <is>
          <t>指標 2</t>
        </is>
      </c>
      <c r="E4" s="10" t="inlineStr">
        <is>
          <t>指標 3</t>
        </is>
      </c>
      <c r="F4" s="10" t="inlineStr">
        <is>
          <t>指標 4</t>
        </is>
      </c>
      <c r="G4" s="11" t="inlineStr">
        <is>
          <t>總得分</t>
        </is>
      </c>
      <c r="H4" s="11" t="inlineStr">
        <is>
          <t>平均分</t>
        </is>
      </c>
      <c r="I4" s="11" t="inlineStr">
        <is>
          <t>學習自立階段</t>
        </is>
      </c>
      <c r="J4" s="11" t="inlineStr">
        <is>
          <t>達成率</t>
        </is>
      </c>
      <c r="K4" s="11" t="inlineStr">
        <is>
          <t>進步分數</t>
        </is>
      </c>
      <c r="L4" s="11" t="inlineStr">
        <is>
          <t>進步率</t>
        </is>
      </c>
      <c r="M4" s="11" t="inlineStr">
        <is>
          <t>成長百分點</t>
        </is>
      </c>
    </row>
    <row r="5">
      <c r="C5" s="12" t="inlineStr">
        <is>
          <t>(0~5分)</t>
        </is>
      </c>
      <c r="D5" s="12" t="inlineStr">
        <is>
          <t>(0~5分)</t>
        </is>
      </c>
      <c r="E5" s="12" t="inlineStr">
        <is>
          <t>(0~5分)</t>
        </is>
      </c>
      <c r="F5" s="12" t="inlineStr">
        <is>
          <t>(0~5分)</t>
        </is>
      </c>
      <c r="G5" s="13" t="inlineStr">
        <is>
          <t>(滿分20)</t>
        </is>
      </c>
      <c r="H5" s="13" t="inlineStr">
        <is>
          <t>(0~5分)</t>
        </is>
      </c>
      <c r="I5" s="13" t="inlineStr">
        <is>
          <t>(等級標記)</t>
        </is>
      </c>
      <c r="J5" s="13" t="inlineStr">
        <is>
          <t>(%)</t>
        </is>
      </c>
      <c r="K5" s="13" t="inlineStr">
        <is>
          <t>(後-前)</t>
        </is>
      </c>
      <c r="L5" s="13" t="inlineStr">
        <is>
          <t>(%)</t>
        </is>
      </c>
      <c r="M5" s="13" t="inlineStr">
        <is>
          <t>(%pt)</t>
        </is>
      </c>
    </row>
    <row r="6">
      <c r="A6" s="14" t="inlineStr">
        <is>
          <t>宇彤</t>
        </is>
      </c>
      <c r="B6" s="15" t="inlineStr">
        <is>
          <t>1. 前測 (第1月)</t>
        </is>
      </c>
      <c r="C6" s="16" t="n">
        <v>3</v>
      </c>
      <c r="D6" s="16" t="n">
        <v>3</v>
      </c>
      <c r="E6" s="16" t="n">
        <v>2</v>
      </c>
      <c r="F6" s="16" t="n">
        <v>3</v>
      </c>
      <c r="G6" s="17">
        <f>IF(COUNT(C6:F6)&gt;0, SUM(C6:F6), "")</f>
        <v/>
      </c>
      <c r="H6" s="18">
        <f>IF(COUNT(C6:F6)&gt;0, AVERAGE(C6:F6), "")</f>
        <v/>
      </c>
      <c r="I6" s="19">
        <f>IF(H6="","",IF(H6&gt;=4.5,"🟢 獨立完成",IF(H6&gt;=3.5,"🔵 口語提醒",IF(H6&gt;=2.0,"🟡 肢體/部分協助","🟠 尚未學會"))))</f>
        <v/>
      </c>
      <c r="J6" s="20">
        <f>IF(ISNUMBER(G6), G6/20, "")</f>
        <v/>
      </c>
      <c r="K6" s="21">
        <f>IF(AND(ISNUMBER(G6), ISNUMBER(G8)), G8-G6, "")</f>
        <v/>
      </c>
      <c r="L6" s="22">
        <f>IF(AND(ISNUMBER(G6), ISNUMBER(G8)), IF(G6&gt;0, (G8-G6)/G6, (G8-G6)/20), "")</f>
        <v/>
      </c>
      <c r="M6" s="22">
        <f>IF(AND(ISNUMBER(J6), ISNUMBER(J8)), J8-J6, "")</f>
        <v/>
      </c>
    </row>
    <row r="7">
      <c r="A7" s="23" t="n"/>
      <c r="B7" s="24" t="inlineStr">
        <is>
          <t>2. 課堂 (第2月)</t>
        </is>
      </c>
      <c r="C7" s="16" t="n">
        <v>4</v>
      </c>
      <c r="D7" s="16" t="n">
        <v>4</v>
      </c>
      <c r="E7" s="16" t="n">
        <v>3</v>
      </c>
      <c r="F7" s="16" t="n">
        <v>4</v>
      </c>
      <c r="G7" s="17">
        <f>IF(COUNT(C7:F7)&gt;0, SUM(C7:F7), "")</f>
        <v/>
      </c>
      <c r="H7" s="18">
        <f>IF(COUNT(C7:F7)&gt;0, AVERAGE(C7:F7), "")</f>
        <v/>
      </c>
      <c r="I7" s="19">
        <f>IF(H7="","",IF(H7&gt;=4.5,"🟢 獨立完成",IF(H7&gt;=3.5,"🔵 口語提醒",IF(H7&gt;=2.0,"🟡 肢體/部分協助","🟠 尚未學會"))))</f>
        <v/>
      </c>
      <c r="J7" s="20">
        <f>IF(ISNUMBER(G7), G7/20, "")</f>
        <v/>
      </c>
      <c r="K7" s="23" t="n"/>
      <c r="L7" s="23" t="n"/>
      <c r="M7" s="23" t="n"/>
    </row>
    <row r="8">
      <c r="A8" s="23" t="n"/>
      <c r="B8" s="25" t="inlineStr">
        <is>
          <t>3. 後測 (第3月)</t>
        </is>
      </c>
      <c r="C8" s="16" t="n">
        <v>5</v>
      </c>
      <c r="D8" s="16" t="n">
        <v>4</v>
      </c>
      <c r="E8" s="16" t="n">
        <v>4</v>
      </c>
      <c r="F8" s="16" t="n">
        <v>5</v>
      </c>
      <c r="G8" s="17">
        <f>IF(COUNT(C8:F8)&gt;0, SUM(C8:F8), "")</f>
        <v/>
      </c>
      <c r="H8" s="18">
        <f>IF(COUNT(C8:F8)&gt;0, AVERAGE(C8:F8), "")</f>
        <v/>
      </c>
      <c r="I8" s="19">
        <f>IF(H8="","",IF(H8&gt;=4.5,"🟢 獨立完成",IF(H8&gt;=3.5,"🔵 口語提醒",IF(H8&gt;=2.0,"🟡 肢體/部分協助","🟠 尚未學會"))))</f>
        <v/>
      </c>
      <c r="J8" s="20">
        <f>IF(ISNUMBER(G8), G8/20, "")</f>
        <v/>
      </c>
      <c r="K8" s="23" t="n"/>
      <c r="L8" s="23" t="n"/>
      <c r="M8" s="23" t="n"/>
    </row>
    <row r="9">
      <c r="A9" s="14" t="inlineStr">
        <is>
          <t>育萱</t>
        </is>
      </c>
      <c r="B9" s="15" t="inlineStr">
        <is>
          <t>1. 前測 (第1月)</t>
        </is>
      </c>
      <c r="C9" s="16" t="n">
        <v>4</v>
      </c>
      <c r="D9" s="16" t="n">
        <v>4</v>
      </c>
      <c r="E9" s="16" t="n">
        <v>3</v>
      </c>
      <c r="F9" s="16" t="n">
        <v>4</v>
      </c>
      <c r="G9" s="17">
        <f>IF(COUNT(C9:F9)&gt;0, SUM(C9:F9), "")</f>
        <v/>
      </c>
      <c r="H9" s="18">
        <f>IF(COUNT(C9:F9)&gt;0, AVERAGE(C9:F9), "")</f>
        <v/>
      </c>
      <c r="I9" s="19">
        <f>IF(H9="","",IF(H9&gt;=4.5,"🟢 獨立完成",IF(H9&gt;=3.5,"🔵 口語提醒",IF(H9&gt;=2.0,"🟡 肢體/部分協助","🟠 尚未學會"))))</f>
        <v/>
      </c>
      <c r="J9" s="20">
        <f>IF(ISNUMBER(G9), G9/20, "")</f>
        <v/>
      </c>
      <c r="K9" s="21">
        <f>IF(AND(ISNUMBER(G9), ISNUMBER(G11)), G11-G9, "")</f>
        <v/>
      </c>
      <c r="L9" s="22">
        <f>IF(AND(ISNUMBER(G9), ISNUMBER(G11)), IF(G9&gt;0, (G11-G9)/G9, (G11-G9)/20), "")</f>
        <v/>
      </c>
      <c r="M9" s="22">
        <f>IF(AND(ISNUMBER(J9), ISNUMBER(J11)), J11-J9, "")</f>
        <v/>
      </c>
    </row>
    <row r="10">
      <c r="A10" s="23" t="n"/>
      <c r="B10" s="24" t="inlineStr">
        <is>
          <t>2. 課堂 (第2月)</t>
        </is>
      </c>
      <c r="C10" s="16" t="n">
        <v>5</v>
      </c>
      <c r="D10" s="16" t="n">
        <v>5</v>
      </c>
      <c r="E10" s="16" t="n">
        <v>4</v>
      </c>
      <c r="F10" s="16" t="n">
        <v>5</v>
      </c>
      <c r="G10" s="17">
        <f>IF(COUNT(C10:F10)&gt;0, SUM(C10:F10), "")</f>
        <v/>
      </c>
      <c r="H10" s="18">
        <f>IF(COUNT(C10:F10)&gt;0, AVERAGE(C10:F10), "")</f>
        <v/>
      </c>
      <c r="I10" s="19">
        <f>IF(H10="","",IF(H10&gt;=4.5,"🟢 獨立完成",IF(H10&gt;=3.5,"🔵 口語提醒",IF(H10&gt;=2.0,"🟡 肢體/部分協助","🟠 尚未學會"))))</f>
        <v/>
      </c>
      <c r="J10" s="20">
        <f>IF(ISNUMBER(G10), G10/20, "")</f>
        <v/>
      </c>
      <c r="K10" s="23" t="n"/>
      <c r="L10" s="23" t="n"/>
      <c r="M10" s="23" t="n"/>
    </row>
    <row r="11">
      <c r="A11" s="23" t="n"/>
      <c r="B11" s="25" t="inlineStr">
        <is>
          <t>3. 後測 (第3月)</t>
        </is>
      </c>
      <c r="C11" s="16" t="n">
        <v>5</v>
      </c>
      <c r="D11" s="16" t="n">
        <v>5</v>
      </c>
      <c r="E11" s="16" t="n">
        <v>5</v>
      </c>
      <c r="F11" s="16" t="n">
        <v>5</v>
      </c>
      <c r="G11" s="17">
        <f>IF(COUNT(C11:F11)&gt;0, SUM(C11:F11), "")</f>
        <v/>
      </c>
      <c r="H11" s="18">
        <f>IF(COUNT(C11:F11)&gt;0, AVERAGE(C11:F11), "")</f>
        <v/>
      </c>
      <c r="I11" s="19">
        <f>IF(H11="","",IF(H11&gt;=4.5,"🟢 獨立完成",IF(H11&gt;=3.5,"🔵 口語提醒",IF(H11&gt;=2.0,"🟡 肢體/部分協助","🟠 尚未學會"))))</f>
        <v/>
      </c>
      <c r="J11" s="20">
        <f>IF(ISNUMBER(G11), G11/20, "")</f>
        <v/>
      </c>
      <c r="K11" s="23" t="n"/>
      <c r="L11" s="23" t="n"/>
      <c r="M11" s="23" t="n"/>
    </row>
    <row r="12">
      <c r="A12" s="14" t="inlineStr">
        <is>
          <t>高齊</t>
        </is>
      </c>
      <c r="B12" s="15" t="inlineStr">
        <is>
          <t>1. 前測 (第1月)</t>
        </is>
      </c>
      <c r="C12" s="16" t="n">
        <v>2</v>
      </c>
      <c r="D12" s="16" t="n">
        <v>2</v>
      </c>
      <c r="E12" s="16" t="n">
        <v>2</v>
      </c>
      <c r="F12" s="16" t="n">
        <v>3</v>
      </c>
      <c r="G12" s="17">
        <f>IF(COUNT(C12:F12)&gt;0, SUM(C12:F12), "")</f>
        <v/>
      </c>
      <c r="H12" s="18">
        <f>IF(COUNT(C12:F12)&gt;0, AVERAGE(C12:F12), "")</f>
        <v/>
      </c>
      <c r="I12" s="19">
        <f>IF(H12="","",IF(H12&gt;=4.5,"🟢 獨立完成",IF(H12&gt;=3.5,"🔵 口語提醒",IF(H12&gt;=2.0,"🟡 肢體/部分協助","🟠 尚未學會"))))</f>
        <v/>
      </c>
      <c r="J12" s="20">
        <f>IF(ISNUMBER(G12), G12/20, "")</f>
        <v/>
      </c>
      <c r="K12" s="21">
        <f>IF(AND(ISNUMBER(G12), ISNUMBER(G14)), G14-G12, "")</f>
        <v/>
      </c>
      <c r="L12" s="22">
        <f>IF(AND(ISNUMBER(G12), ISNUMBER(G14)), IF(G12&gt;0, (G14-G12)/G12, (G14-G12)/20), "")</f>
        <v/>
      </c>
      <c r="M12" s="22">
        <f>IF(AND(ISNUMBER(J12), ISNUMBER(J14)), J14-J12, "")</f>
        <v/>
      </c>
    </row>
    <row r="13">
      <c r="A13" s="23" t="n"/>
      <c r="B13" s="24" t="inlineStr">
        <is>
          <t>2. 課堂 (第2月)</t>
        </is>
      </c>
      <c r="C13" s="16" t="n">
        <v>3</v>
      </c>
      <c r="D13" s="16" t="n">
        <v>3</v>
      </c>
      <c r="E13" s="16" t="n">
        <v>3</v>
      </c>
      <c r="F13" s="16" t="n">
        <v>4</v>
      </c>
      <c r="G13" s="17">
        <f>IF(COUNT(C13:F13)&gt;0, SUM(C13:F13), "")</f>
        <v/>
      </c>
      <c r="H13" s="18">
        <f>IF(COUNT(C13:F13)&gt;0, AVERAGE(C13:F13), "")</f>
        <v/>
      </c>
      <c r="I13" s="19">
        <f>IF(H13="","",IF(H13&gt;=4.5,"🟢 獨立完成",IF(H13&gt;=3.5,"🔵 口語提醒",IF(H13&gt;=2.0,"🟡 肢體/部分協助","🟠 尚未學會"))))</f>
        <v/>
      </c>
      <c r="J13" s="20">
        <f>IF(ISNUMBER(G13), G13/20, "")</f>
        <v/>
      </c>
      <c r="K13" s="23" t="n"/>
      <c r="L13" s="23" t="n"/>
      <c r="M13" s="23" t="n"/>
    </row>
    <row r="14">
      <c r="A14" s="23" t="n"/>
      <c r="B14" s="25" t="inlineStr">
        <is>
          <t>3. 後測 (第3月)</t>
        </is>
      </c>
      <c r="C14" s="16" t="n">
        <v>4</v>
      </c>
      <c r="D14" s="16" t="n">
        <v>4</v>
      </c>
      <c r="E14" s="16" t="n">
        <v>4</v>
      </c>
      <c r="F14" s="16" t="n">
        <v>4</v>
      </c>
      <c r="G14" s="17">
        <f>IF(COUNT(C14:F14)&gt;0, SUM(C14:F14), "")</f>
        <v/>
      </c>
      <c r="H14" s="18">
        <f>IF(COUNT(C14:F14)&gt;0, AVERAGE(C14:F14), "")</f>
        <v/>
      </c>
      <c r="I14" s="19">
        <f>IF(H14="","",IF(H14&gt;=4.5,"🟢 獨立完成",IF(H14&gt;=3.5,"🔵 口語提醒",IF(H14&gt;=2.0,"🟡 肢體/部分協助","🟠 尚未學會"))))</f>
        <v/>
      </c>
      <c r="J14" s="20">
        <f>IF(ISNUMBER(G14), G14/20, "")</f>
        <v/>
      </c>
      <c r="K14" s="23" t="n"/>
      <c r="L14" s="23" t="n"/>
      <c r="M14" s="23" t="n"/>
    </row>
    <row r="15">
      <c r="A15" s="14" t="inlineStr">
        <is>
          <t>芷嫻</t>
        </is>
      </c>
      <c r="B15" s="15" t="inlineStr">
        <is>
          <t>1. 前測 (第1月)</t>
        </is>
      </c>
      <c r="C15" s="16" t="n">
        <v>3</v>
      </c>
      <c r="D15" s="16" t="n">
        <v>3</v>
      </c>
      <c r="E15" s="16" t="n">
        <v>3</v>
      </c>
      <c r="F15" s="16" t="n">
        <v>4</v>
      </c>
      <c r="G15" s="17">
        <f>IF(COUNT(C15:F15)&gt;0, SUM(C15:F15), "")</f>
        <v/>
      </c>
      <c r="H15" s="18">
        <f>IF(COUNT(C15:F15)&gt;0, AVERAGE(C15:F15), "")</f>
        <v/>
      </c>
      <c r="I15" s="19">
        <f>IF(H15="","",IF(H15&gt;=4.5,"🟢 獨立完成",IF(H15&gt;=3.5,"🔵 口語提醒",IF(H15&gt;=2.0,"🟡 肢體/部分協助","🟠 尚未學會"))))</f>
        <v/>
      </c>
      <c r="J15" s="20">
        <f>IF(ISNUMBER(G15), G15/20, "")</f>
        <v/>
      </c>
      <c r="K15" s="21">
        <f>IF(AND(ISNUMBER(G15), ISNUMBER(G17)), G17-G15, "")</f>
        <v/>
      </c>
      <c r="L15" s="22">
        <f>IF(AND(ISNUMBER(G15), ISNUMBER(G17)), IF(G15&gt;0, (G17-G15)/G15, (G17-G15)/20), "")</f>
        <v/>
      </c>
      <c r="M15" s="22">
        <f>IF(AND(ISNUMBER(J15), ISNUMBER(J17)), J17-J15, "")</f>
        <v/>
      </c>
    </row>
    <row r="16">
      <c r="A16" s="23" t="n"/>
      <c r="B16" s="24" t="inlineStr">
        <is>
          <t>2. 課堂 (第2月)</t>
        </is>
      </c>
      <c r="C16" s="16" t="n">
        <v>4</v>
      </c>
      <c r="D16" s="16" t="n">
        <v>4</v>
      </c>
      <c r="E16" s="16" t="n">
        <v>4</v>
      </c>
      <c r="F16" s="16" t="n">
        <v>5</v>
      </c>
      <c r="G16" s="17">
        <f>IF(COUNT(C16:F16)&gt;0, SUM(C16:F16), "")</f>
        <v/>
      </c>
      <c r="H16" s="18">
        <f>IF(COUNT(C16:F16)&gt;0, AVERAGE(C16:F16), "")</f>
        <v/>
      </c>
      <c r="I16" s="19">
        <f>IF(H16="","",IF(H16&gt;=4.5,"🟢 獨立完成",IF(H16&gt;=3.5,"🔵 口語提醒",IF(H16&gt;=2.0,"🟡 肢體/部分協助","🟠 尚未學會"))))</f>
        <v/>
      </c>
      <c r="J16" s="20">
        <f>IF(ISNUMBER(G16), G16/20, "")</f>
        <v/>
      </c>
      <c r="K16" s="23" t="n"/>
      <c r="L16" s="23" t="n"/>
      <c r="M16" s="23" t="n"/>
    </row>
    <row r="17">
      <c r="A17" s="23" t="n"/>
      <c r="B17" s="25" t="inlineStr">
        <is>
          <t>3. 後測 (第3月)</t>
        </is>
      </c>
      <c r="C17" s="16" t="n">
        <v>5</v>
      </c>
      <c r="D17" s="16" t="n">
        <v>5</v>
      </c>
      <c r="E17" s="16" t="n">
        <v>4</v>
      </c>
      <c r="F17" s="16" t="n">
        <v>5</v>
      </c>
      <c r="G17" s="17">
        <f>IF(COUNT(C17:F17)&gt;0, SUM(C17:F17), "")</f>
        <v/>
      </c>
      <c r="H17" s="18">
        <f>IF(COUNT(C17:F17)&gt;0, AVERAGE(C17:F17), "")</f>
        <v/>
      </c>
      <c r="I17" s="19">
        <f>IF(H17="","",IF(H17&gt;=4.5,"🟢 獨立完成",IF(H17&gt;=3.5,"🔵 口語提醒",IF(H17&gt;=2.0,"🟡 肢體/部分協助","🟠 尚未學會"))))</f>
        <v/>
      </c>
      <c r="J17" s="20">
        <f>IF(ISNUMBER(G17), G17/20, "")</f>
        <v/>
      </c>
      <c r="K17" s="23" t="n"/>
      <c r="L17" s="23" t="n"/>
      <c r="M17" s="23" t="n"/>
    </row>
    <row r="18">
      <c r="A18" s="14" t="inlineStr">
        <is>
          <t>志豪</t>
        </is>
      </c>
      <c r="B18" s="15" t="inlineStr">
        <is>
          <t>1. 前測 (第1月)</t>
        </is>
      </c>
      <c r="C18" s="16" t="n">
        <v>2</v>
      </c>
      <c r="D18" s="16" t="n">
        <v>3</v>
      </c>
      <c r="E18" s="16" t="n">
        <v>2</v>
      </c>
      <c r="F18" s="16" t="n">
        <v>3</v>
      </c>
      <c r="G18" s="17">
        <f>IF(COUNT(C18:F18)&gt;0, SUM(C18:F18), "")</f>
        <v/>
      </c>
      <c r="H18" s="18">
        <f>IF(COUNT(C18:F18)&gt;0, AVERAGE(C18:F18), "")</f>
        <v/>
      </c>
      <c r="I18" s="19">
        <f>IF(H18="","",IF(H18&gt;=4.5,"🟢 獨立完成",IF(H18&gt;=3.5,"🔵 口語提醒",IF(H18&gt;=2.0,"🟡 肢體/部分協助","🟠 尚未學會"))))</f>
        <v/>
      </c>
      <c r="J18" s="20">
        <f>IF(ISNUMBER(G18), G18/20, "")</f>
        <v/>
      </c>
      <c r="K18" s="21">
        <f>IF(AND(ISNUMBER(G18), ISNUMBER(G20)), G20-G18, "")</f>
        <v/>
      </c>
      <c r="L18" s="22">
        <f>IF(AND(ISNUMBER(G18), ISNUMBER(G20)), IF(G18&gt;0, (G20-G18)/G18, (G20-G18)/20), "")</f>
        <v/>
      </c>
      <c r="M18" s="22">
        <f>IF(AND(ISNUMBER(J18), ISNUMBER(J20)), J20-J18, "")</f>
        <v/>
      </c>
    </row>
    <row r="19">
      <c r="A19" s="23" t="n"/>
      <c r="B19" s="24" t="inlineStr">
        <is>
          <t>2. 課堂 (第2月)</t>
        </is>
      </c>
      <c r="C19" s="16" t="n">
        <v>3</v>
      </c>
      <c r="D19" s="16" t="n">
        <v>4</v>
      </c>
      <c r="E19" s="16" t="n">
        <v>3</v>
      </c>
      <c r="F19" s="16" t="n">
        <v>4</v>
      </c>
      <c r="G19" s="17">
        <f>IF(COUNT(C19:F19)&gt;0, SUM(C19:F19), "")</f>
        <v/>
      </c>
      <c r="H19" s="18">
        <f>IF(COUNT(C19:F19)&gt;0, AVERAGE(C19:F19), "")</f>
        <v/>
      </c>
      <c r="I19" s="19">
        <f>IF(H19="","",IF(H19&gt;=4.5,"🟢 獨立完成",IF(H19&gt;=3.5,"🔵 口語提醒",IF(H19&gt;=2.0,"🟡 肢體/部分協助","🟠 尚未學會"))))</f>
        <v/>
      </c>
      <c r="J19" s="20">
        <f>IF(ISNUMBER(G19), G19/20, "")</f>
        <v/>
      </c>
      <c r="K19" s="23" t="n"/>
      <c r="L19" s="23" t="n"/>
      <c r="M19" s="23" t="n"/>
    </row>
    <row r="20">
      <c r="A20" s="23" t="n"/>
      <c r="B20" s="25" t="inlineStr">
        <is>
          <t>3. 後測 (第3月)</t>
        </is>
      </c>
      <c r="C20" s="16" t="n">
        <v>4</v>
      </c>
      <c r="D20" s="16" t="n">
        <v>4</v>
      </c>
      <c r="E20" s="16" t="n">
        <v>4</v>
      </c>
      <c r="F20" s="16" t="n">
        <v>4</v>
      </c>
      <c r="G20" s="17">
        <f>IF(COUNT(C20:F20)&gt;0, SUM(C20:F20), "")</f>
        <v/>
      </c>
      <c r="H20" s="18">
        <f>IF(COUNT(C20:F20)&gt;0, AVERAGE(C20:F20), "")</f>
        <v/>
      </c>
      <c r="I20" s="19">
        <f>IF(H20="","",IF(H20&gt;=4.5,"🟢 獨立完成",IF(H20&gt;=3.5,"🔵 口語提醒",IF(H20&gt;=2.0,"🟡 肢體/部分協助","🟠 尚未學會"))))</f>
        <v/>
      </c>
      <c r="J20" s="20">
        <f>IF(ISNUMBER(G20), G20/20, "")</f>
        <v/>
      </c>
      <c r="K20" s="23" t="n"/>
      <c r="L20" s="23" t="n"/>
      <c r="M20" s="23" t="n"/>
    </row>
    <row r="21">
      <c r="A21" s="14" t="inlineStr">
        <is>
          <t>雅婷</t>
        </is>
      </c>
      <c r="B21" s="15" t="inlineStr">
        <is>
          <t>1. 前測 (第1月)</t>
        </is>
      </c>
      <c r="C21" s="16" t="n">
        <v>3</v>
      </c>
      <c r="D21" s="16" t="n">
        <v>3</v>
      </c>
      <c r="E21" s="16" t="n">
        <v>3</v>
      </c>
      <c r="F21" s="16" t="n">
        <v>3</v>
      </c>
      <c r="G21" s="17">
        <f>IF(COUNT(C21:F21)&gt;0, SUM(C21:F21), "")</f>
        <v/>
      </c>
      <c r="H21" s="18">
        <f>IF(COUNT(C21:F21)&gt;0, AVERAGE(C21:F21), "")</f>
        <v/>
      </c>
      <c r="I21" s="19">
        <f>IF(H21="","",IF(H21&gt;=4.5,"🟢 獨立完成",IF(H21&gt;=3.5,"🔵 口語提醒",IF(H21&gt;=2.0,"🟡 肢體/部分協助","🟠 尚未學會"))))</f>
        <v/>
      </c>
      <c r="J21" s="20">
        <f>IF(ISNUMBER(G21), G21/20, "")</f>
        <v/>
      </c>
      <c r="K21" s="21">
        <f>IF(AND(ISNUMBER(G21), ISNUMBER(G23)), G23-G21, "")</f>
        <v/>
      </c>
      <c r="L21" s="22">
        <f>IF(AND(ISNUMBER(G21), ISNUMBER(G23)), IF(G21&gt;0, (G23-G21)/G21, (G23-G21)/20), "")</f>
        <v/>
      </c>
      <c r="M21" s="22">
        <f>IF(AND(ISNUMBER(J21), ISNUMBER(J23)), J23-J21, "")</f>
        <v/>
      </c>
    </row>
    <row r="22">
      <c r="A22" s="23" t="n"/>
      <c r="B22" s="24" t="inlineStr">
        <is>
          <t>2. 課堂 (第2月)</t>
        </is>
      </c>
      <c r="C22" s="16" t="n">
        <v>4</v>
      </c>
      <c r="D22" s="16" t="n">
        <v>4</v>
      </c>
      <c r="E22" s="16" t="n">
        <v>4</v>
      </c>
      <c r="F22" s="16" t="n">
        <v>4</v>
      </c>
      <c r="G22" s="17">
        <f>IF(COUNT(C22:F22)&gt;0, SUM(C22:F22), "")</f>
        <v/>
      </c>
      <c r="H22" s="18">
        <f>IF(COUNT(C22:F22)&gt;0, AVERAGE(C22:F22), "")</f>
        <v/>
      </c>
      <c r="I22" s="19">
        <f>IF(H22="","",IF(H22&gt;=4.5,"🟢 獨立完成",IF(H22&gt;=3.5,"🔵 口語提醒",IF(H22&gt;=2.0,"🟡 肢體/部分協助","🟠 尚未學會"))))</f>
        <v/>
      </c>
      <c r="J22" s="20">
        <f>IF(ISNUMBER(G22), G22/20, "")</f>
        <v/>
      </c>
      <c r="K22" s="23" t="n"/>
      <c r="L22" s="23" t="n"/>
      <c r="M22" s="23" t="n"/>
    </row>
    <row r="23">
      <c r="A23" s="23" t="n"/>
      <c r="B23" s="25" t="inlineStr">
        <is>
          <t>3. 後測 (第3月)</t>
        </is>
      </c>
      <c r="C23" s="16" t="n">
        <v>5</v>
      </c>
      <c r="D23" s="16" t="n">
        <v>5</v>
      </c>
      <c r="E23" s="16" t="n">
        <v>4</v>
      </c>
      <c r="F23" s="16" t="n">
        <v>5</v>
      </c>
      <c r="G23" s="17">
        <f>IF(COUNT(C23:F23)&gt;0, SUM(C23:F23), "")</f>
        <v/>
      </c>
      <c r="H23" s="18">
        <f>IF(COUNT(C23:F23)&gt;0, AVERAGE(C23:F23), "")</f>
        <v/>
      </c>
      <c r="I23" s="19">
        <f>IF(H23="","",IF(H23&gt;=4.5,"🟢 獨立完成",IF(H23&gt;=3.5,"🔵 口語提醒",IF(H23&gt;=2.0,"🟡 肢體/部分協助","🟠 尚未學會"))))</f>
        <v/>
      </c>
      <c r="J23" s="20">
        <f>IF(ISNUMBER(G23), G23/20, "")</f>
        <v/>
      </c>
      <c r="K23" s="23" t="n"/>
      <c r="L23" s="23" t="n"/>
      <c r="M23" s="23" t="n"/>
    </row>
    <row r="24">
      <c r="A24" s="26" t="inlineStr">
        <is>
          <t>全班平均常模</t>
        </is>
      </c>
      <c r="C24" s="27">
        <f>IFERROR(AVERAGE(C6:C23), "-")</f>
        <v/>
      </c>
      <c r="D24" s="27">
        <f>IFERROR(AVERAGE(D6:D23), "-")</f>
        <v/>
      </c>
      <c r="E24" s="27">
        <f>IFERROR(AVERAGE(E6:E23), "-")</f>
        <v/>
      </c>
      <c r="F24" s="27">
        <f>IFERROR(AVERAGE(F6:F23), "-")</f>
        <v/>
      </c>
      <c r="G24" s="27">
        <f>IFERROR(AVERAGE(G6:G23), "-")</f>
        <v/>
      </c>
      <c r="H24" s="27">
        <f>IFERROR(AVERAGE(H6:H23), "-")</f>
        <v/>
      </c>
      <c r="I24" s="27" t="inlineStr">
        <is>
          <t>-</t>
        </is>
      </c>
      <c r="J24" s="27">
        <f>IFERROR(AVERAGE(J6:J23), "-")</f>
        <v/>
      </c>
      <c r="K24" s="27">
        <f>IFERROR(AVERAGE(K6:K23), "-")</f>
        <v/>
      </c>
      <c r="L24" s="27">
        <f>IFERROR(AVERAGE(L6:L23), "-")</f>
        <v/>
      </c>
      <c r="M24" s="27">
        <f>IFERROR(AVERAGE(M6:M23), "-")</f>
        <v/>
      </c>
    </row>
    <row r="27">
      <c r="A27" s="28" t="inlineStr">
        <is>
          <t>【Q2 檢核指標工作分析項目清單】</t>
        </is>
      </c>
    </row>
    <row r="28">
      <c r="A28" s="29" t="inlineStr">
        <is>
          <t>指標 1</t>
        </is>
      </c>
      <c r="B28" s="30" t="inlineStr">
        <is>
          <t>1. 掌握正確拔插頭技巧（握住插頭本體拔除，嚴禁直接拉扯電線）與線材束帶收納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</row>
    <row r="29">
      <c r="A29" s="29" t="inlineStr">
        <is>
          <t>指標 2</t>
        </is>
      </c>
      <c r="B29" s="30" t="inlineStr">
        <is>
          <t>2. 能辨識用電危險（插座過載堆疊、插頭未插到底、電線脫皮破損立即通報拔除）</t>
        </is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</row>
    <row r="30">
      <c r="A30" s="29" t="inlineStr">
        <is>
          <t>指標 3</t>
        </is>
      </c>
      <c r="B30" s="30" t="inlineStr">
        <is>
          <t>3. 辨識廚房高溫熱源（電陶爐發紅面板會燙傷不可碰觸）與高耗能電器插座安全</t>
        </is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</row>
    <row r="31">
      <c r="A31" s="29" t="inlineStr">
        <is>
          <t>指標 4</t>
        </is>
      </c>
      <c r="B31" s="30" t="inlineStr">
        <is>
          <t>4. 熟練「麻花式」低處擰抹布技巧，並能使用掃帚將垃圾確實掃入地面目標框內</t>
        </is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</row>
  </sheetData>
  <mergeCells count="33">
    <mergeCell ref="A21:A23"/>
    <mergeCell ref="A24:B24"/>
    <mergeCell ref="A12:A14"/>
    <mergeCell ref="M12:M14"/>
    <mergeCell ref="M18:M20"/>
    <mergeCell ref="A1:M2"/>
    <mergeCell ref="M21:M23"/>
    <mergeCell ref="L9:L11"/>
    <mergeCell ref="B29:M29"/>
    <mergeCell ref="K6:K8"/>
    <mergeCell ref="L6:L8"/>
    <mergeCell ref="B28:M28"/>
    <mergeCell ref="L21:L23"/>
    <mergeCell ref="A15:A17"/>
    <mergeCell ref="K15:K17"/>
    <mergeCell ref="B30:M30"/>
    <mergeCell ref="K9:K11"/>
    <mergeCell ref="A9:A11"/>
    <mergeCell ref="M9:M11"/>
    <mergeCell ref="K18:K20"/>
    <mergeCell ref="A4:A5"/>
    <mergeCell ref="K21:K23"/>
    <mergeCell ref="A6:A8"/>
    <mergeCell ref="M6:M8"/>
    <mergeCell ref="L12:L14"/>
    <mergeCell ref="L18:L20"/>
    <mergeCell ref="B4:B5"/>
    <mergeCell ref="B31:M31"/>
    <mergeCell ref="L15:L17"/>
    <mergeCell ref="A3:M3"/>
    <mergeCell ref="K12:K14"/>
    <mergeCell ref="M15:M17"/>
    <mergeCell ref="A18:A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8" customWidth="1" min="10" max="10"/>
    <col width="10" customWidth="1" min="11" max="11"/>
    <col width="11" customWidth="1" min="12" max="12"/>
    <col width="11" customWidth="1" min="13" max="13"/>
    <col width="13" customWidth="1" min="14" max="14"/>
  </cols>
  <sheetData>
    <row r="1">
      <c r="A1" s="7" t="inlineStr">
        <is>
          <t>瑞翔日間作業所 116年度終身學習 - 第三季 (7~9月)：全方位防災應變（地震、火災、水災）與用路安全</t>
        </is>
      </c>
    </row>
    <row r="2"/>
    <row r="3">
      <c r="A3" s="8" t="inlineStr">
        <is>
          <t>【提示等級說明】5:獨立完成(＋) ｜ 4:口語提醒(Ｖ) ｜ 3:肢體協助(Ｐ) ｜ 2:部分協助 ｜ 1:尚未學會(－) ｜ 0:無法配合</t>
        </is>
      </c>
    </row>
    <row r="4">
      <c r="A4" s="9" t="inlineStr">
        <is>
          <t>學員姓名</t>
        </is>
      </c>
      <c r="B4" s="9" t="inlineStr">
        <is>
          <t>評量階段</t>
        </is>
      </c>
      <c r="C4" s="10" t="inlineStr">
        <is>
          <t>指標 1</t>
        </is>
      </c>
      <c r="D4" s="10" t="inlineStr">
        <is>
          <t>指標 2</t>
        </is>
      </c>
      <c r="E4" s="10" t="inlineStr">
        <is>
          <t>指標 3</t>
        </is>
      </c>
      <c r="F4" s="10" t="inlineStr">
        <is>
          <t>指標 4</t>
        </is>
      </c>
      <c r="G4" s="10" t="inlineStr">
        <is>
          <t>指標 5</t>
        </is>
      </c>
      <c r="H4" s="11" t="inlineStr">
        <is>
          <t>總得分</t>
        </is>
      </c>
      <c r="I4" s="11" t="inlineStr">
        <is>
          <t>平均分</t>
        </is>
      </c>
      <c r="J4" s="11" t="inlineStr">
        <is>
          <t>學習自立階段</t>
        </is>
      </c>
      <c r="K4" s="11" t="inlineStr">
        <is>
          <t>達成率</t>
        </is>
      </c>
      <c r="L4" s="11" t="inlineStr">
        <is>
          <t>進步分數</t>
        </is>
      </c>
      <c r="M4" s="11" t="inlineStr">
        <is>
          <t>進步率</t>
        </is>
      </c>
      <c r="N4" s="11" t="inlineStr">
        <is>
          <t>成長百分點</t>
        </is>
      </c>
    </row>
    <row r="5">
      <c r="C5" s="12" t="inlineStr">
        <is>
          <t>(0~5分)</t>
        </is>
      </c>
      <c r="D5" s="12" t="inlineStr">
        <is>
          <t>(0~5分)</t>
        </is>
      </c>
      <c r="E5" s="12" t="inlineStr">
        <is>
          <t>(0~5分)</t>
        </is>
      </c>
      <c r="F5" s="12" t="inlineStr">
        <is>
          <t>(0~5分)</t>
        </is>
      </c>
      <c r="G5" s="12" t="inlineStr">
        <is>
          <t>(0~5分)</t>
        </is>
      </c>
      <c r="H5" s="13" t="inlineStr">
        <is>
          <t>(滿分25)</t>
        </is>
      </c>
      <c r="I5" s="13" t="inlineStr">
        <is>
          <t>(0~5分)</t>
        </is>
      </c>
      <c r="J5" s="13" t="inlineStr">
        <is>
          <t>(等級標記)</t>
        </is>
      </c>
      <c r="K5" s="13" t="inlineStr">
        <is>
          <t>(%)</t>
        </is>
      </c>
      <c r="L5" s="13" t="inlineStr">
        <is>
          <t>(後-前)</t>
        </is>
      </c>
      <c r="M5" s="13" t="inlineStr">
        <is>
          <t>(%)</t>
        </is>
      </c>
      <c r="N5" s="13" t="inlineStr">
        <is>
          <t>(%pt)</t>
        </is>
      </c>
    </row>
    <row r="6">
      <c r="A6" s="14" t="inlineStr">
        <is>
          <t>宇彤</t>
        </is>
      </c>
      <c r="B6" s="15" t="inlineStr">
        <is>
          <t>1. 前測 (第1月)</t>
        </is>
      </c>
      <c r="C6" s="16" t="n">
        <v>3</v>
      </c>
      <c r="D6" s="16" t="n">
        <v>3</v>
      </c>
      <c r="E6" s="16" t="n">
        <v>3</v>
      </c>
      <c r="F6" s="16" t="n">
        <v>3</v>
      </c>
      <c r="G6" s="16" t="n">
        <v>3</v>
      </c>
      <c r="H6" s="17">
        <f>IF(COUNT(C6:G6)&gt;0, SUM(C6:G6), "")</f>
        <v/>
      </c>
      <c r="I6" s="18">
        <f>IF(COUNT(C6:G6)&gt;0, AVERAGE(C6:G6), "")</f>
        <v/>
      </c>
      <c r="J6" s="19">
        <f>IF(I6="","",IF(I6&gt;=4.5,"🟢 獨立完成",IF(I6&gt;=3.5,"🔵 口語提醒",IF(I6&gt;=2.0,"🟡 肢體/部分協助","🟠 尚未學會"))))</f>
        <v/>
      </c>
      <c r="K6" s="20">
        <f>IF(ISNUMBER(H6), H6/25, "")</f>
        <v/>
      </c>
      <c r="L6" s="21">
        <f>IF(AND(ISNUMBER(H6), ISNUMBER(H8)), H8-H6, "")</f>
        <v/>
      </c>
      <c r="M6" s="22">
        <f>IF(AND(ISNUMBER(H6), ISNUMBER(H8)), IF(H6&gt;0, (H8-H6)/H6, (H8-H6)/25), "")</f>
        <v/>
      </c>
      <c r="N6" s="22">
        <f>IF(AND(ISNUMBER(K6), ISNUMBER(K8)), K8-K6, "")</f>
        <v/>
      </c>
    </row>
    <row r="7">
      <c r="A7" s="23" t="n"/>
      <c r="B7" s="24" t="inlineStr">
        <is>
          <t>2. 課堂 (第2月)</t>
        </is>
      </c>
      <c r="C7" s="16" t="n">
        <v>4</v>
      </c>
      <c r="D7" s="16" t="n">
        <v>4</v>
      </c>
      <c r="E7" s="16" t="n">
        <v>4</v>
      </c>
      <c r="F7" s="16" t="n">
        <v>4</v>
      </c>
      <c r="G7" s="16" t="n">
        <v>4</v>
      </c>
      <c r="H7" s="17">
        <f>IF(COUNT(C7:G7)&gt;0, SUM(C7:G7), "")</f>
        <v/>
      </c>
      <c r="I7" s="18">
        <f>IF(COUNT(C7:G7)&gt;0, AVERAGE(C7:G7), "")</f>
        <v/>
      </c>
      <c r="J7" s="19">
        <f>IF(I7="","",IF(I7&gt;=4.5,"🟢 獨立完成",IF(I7&gt;=3.5,"🔵 口語提醒",IF(I7&gt;=2.0,"🟡 肢體/部分協助","🟠 尚未學會"))))</f>
        <v/>
      </c>
      <c r="K7" s="20">
        <f>IF(ISNUMBER(H7), H7/25, "")</f>
        <v/>
      </c>
      <c r="L7" s="23" t="n"/>
      <c r="M7" s="23" t="n"/>
      <c r="N7" s="23" t="n"/>
    </row>
    <row r="8">
      <c r="A8" s="23" t="n"/>
      <c r="B8" s="25" t="inlineStr">
        <is>
          <t>3. 後測 (第3月)</t>
        </is>
      </c>
      <c r="C8" s="16" t="n">
        <v>5</v>
      </c>
      <c r="D8" s="16" t="n">
        <v>4</v>
      </c>
      <c r="E8" s="16" t="n">
        <v>5</v>
      </c>
      <c r="F8" s="16" t="n">
        <v>4</v>
      </c>
      <c r="G8" s="16" t="n">
        <v>4</v>
      </c>
      <c r="H8" s="17">
        <f>IF(COUNT(C8:G8)&gt;0, SUM(C8:G8), "")</f>
        <v/>
      </c>
      <c r="I8" s="18">
        <f>IF(COUNT(C8:G8)&gt;0, AVERAGE(C8:G8), "")</f>
        <v/>
      </c>
      <c r="J8" s="19">
        <f>IF(I8="","",IF(I8&gt;=4.5,"🟢 獨立完成",IF(I8&gt;=3.5,"🔵 口語提醒",IF(I8&gt;=2.0,"🟡 肢體/部分協助","🟠 尚未學會"))))</f>
        <v/>
      </c>
      <c r="K8" s="20">
        <f>IF(ISNUMBER(H8), H8/25, "")</f>
        <v/>
      </c>
      <c r="L8" s="23" t="n"/>
      <c r="M8" s="23" t="n"/>
      <c r="N8" s="23" t="n"/>
    </row>
    <row r="9">
      <c r="A9" s="14" t="inlineStr">
        <is>
          <t>育萱</t>
        </is>
      </c>
      <c r="B9" s="15" t="inlineStr">
        <is>
          <t>1. 前測 (第1月)</t>
        </is>
      </c>
      <c r="C9" s="16" t="n">
        <v>4</v>
      </c>
      <c r="D9" s="16" t="n">
        <v>4</v>
      </c>
      <c r="E9" s="16" t="n">
        <v>4</v>
      </c>
      <c r="F9" s="16" t="n">
        <v>4</v>
      </c>
      <c r="G9" s="16" t="n">
        <v>4</v>
      </c>
      <c r="H9" s="17">
        <f>IF(COUNT(C9:G9)&gt;0, SUM(C9:G9), "")</f>
        <v/>
      </c>
      <c r="I9" s="18">
        <f>IF(COUNT(C9:G9)&gt;0, AVERAGE(C9:G9), "")</f>
        <v/>
      </c>
      <c r="J9" s="19">
        <f>IF(I9="","",IF(I9&gt;=4.5,"🟢 獨立完成",IF(I9&gt;=3.5,"🔵 口語提醒",IF(I9&gt;=2.0,"🟡 肢體/部分協助","🟠 尚未學會"))))</f>
        <v/>
      </c>
      <c r="K9" s="20">
        <f>IF(ISNUMBER(H9), H9/25, "")</f>
        <v/>
      </c>
      <c r="L9" s="21">
        <f>IF(AND(ISNUMBER(H9), ISNUMBER(H11)), H11-H9, "")</f>
        <v/>
      </c>
      <c r="M9" s="22">
        <f>IF(AND(ISNUMBER(H9), ISNUMBER(H11)), IF(H9&gt;0, (H11-H9)/H9, (H11-H9)/25), "")</f>
        <v/>
      </c>
      <c r="N9" s="22">
        <f>IF(AND(ISNUMBER(K9), ISNUMBER(K11)), K11-K9, "")</f>
        <v/>
      </c>
    </row>
    <row r="10">
      <c r="A10" s="23" t="n"/>
      <c r="B10" s="24" t="inlineStr">
        <is>
          <t>2. 課堂 (第2月)</t>
        </is>
      </c>
      <c r="C10" s="16" t="n">
        <v>5</v>
      </c>
      <c r="D10" s="16" t="n">
        <v>5</v>
      </c>
      <c r="E10" s="16" t="n">
        <v>5</v>
      </c>
      <c r="F10" s="16" t="n">
        <v>5</v>
      </c>
      <c r="G10" s="16" t="n">
        <v>4</v>
      </c>
      <c r="H10" s="17">
        <f>IF(COUNT(C10:G10)&gt;0, SUM(C10:G10), "")</f>
        <v/>
      </c>
      <c r="I10" s="18">
        <f>IF(COUNT(C10:G10)&gt;0, AVERAGE(C10:G10), "")</f>
        <v/>
      </c>
      <c r="J10" s="19">
        <f>IF(I10="","",IF(I10&gt;=4.5,"🟢 獨立完成",IF(I10&gt;=3.5,"🔵 口語提醒",IF(I10&gt;=2.0,"🟡 肢體/部分協助","🟠 尚未學會"))))</f>
        <v/>
      </c>
      <c r="K10" s="20">
        <f>IF(ISNUMBER(H10), H10/25, "")</f>
        <v/>
      </c>
      <c r="L10" s="23" t="n"/>
      <c r="M10" s="23" t="n"/>
      <c r="N10" s="23" t="n"/>
    </row>
    <row r="11">
      <c r="A11" s="23" t="n"/>
      <c r="B11" s="25" t="inlineStr">
        <is>
          <t>3. 後測 (第3月)</t>
        </is>
      </c>
      <c r="C11" s="16" t="n">
        <v>5</v>
      </c>
      <c r="D11" s="16" t="n">
        <v>5</v>
      </c>
      <c r="E11" s="16" t="n">
        <v>5</v>
      </c>
      <c r="F11" s="16" t="n">
        <v>5</v>
      </c>
      <c r="G11" s="16" t="n">
        <v>5</v>
      </c>
      <c r="H11" s="17">
        <f>IF(COUNT(C11:G11)&gt;0, SUM(C11:G11), "")</f>
        <v/>
      </c>
      <c r="I11" s="18">
        <f>IF(COUNT(C11:G11)&gt;0, AVERAGE(C11:G11), "")</f>
        <v/>
      </c>
      <c r="J11" s="19">
        <f>IF(I11="","",IF(I11&gt;=4.5,"🟢 獨立完成",IF(I11&gt;=3.5,"🔵 口語提醒",IF(I11&gt;=2.0,"🟡 肢體/部分協助","🟠 尚未學會"))))</f>
        <v/>
      </c>
      <c r="K11" s="20">
        <f>IF(ISNUMBER(H11), H11/25, "")</f>
        <v/>
      </c>
      <c r="L11" s="23" t="n"/>
      <c r="M11" s="23" t="n"/>
      <c r="N11" s="23" t="n"/>
    </row>
    <row r="12">
      <c r="A12" s="14" t="inlineStr">
        <is>
          <t>高齊</t>
        </is>
      </c>
      <c r="B12" s="15" t="inlineStr">
        <is>
          <t>1. 前測 (第1月)</t>
        </is>
      </c>
      <c r="C12" s="16" t="n">
        <v>2</v>
      </c>
      <c r="D12" s="16" t="n">
        <v>2</v>
      </c>
      <c r="E12" s="16" t="n">
        <v>2</v>
      </c>
      <c r="F12" s="16" t="n">
        <v>2</v>
      </c>
      <c r="G12" s="16" t="n">
        <v>3</v>
      </c>
      <c r="H12" s="17">
        <f>IF(COUNT(C12:G12)&gt;0, SUM(C12:G12), "")</f>
        <v/>
      </c>
      <c r="I12" s="18">
        <f>IF(COUNT(C12:G12)&gt;0, AVERAGE(C12:G12), "")</f>
        <v/>
      </c>
      <c r="J12" s="19">
        <f>IF(I12="","",IF(I12&gt;=4.5,"🟢 獨立完成",IF(I12&gt;=3.5,"🔵 口語提醒",IF(I12&gt;=2.0,"🟡 肢體/部分協助","🟠 尚未學會"))))</f>
        <v/>
      </c>
      <c r="K12" s="20">
        <f>IF(ISNUMBER(H12), H12/25, "")</f>
        <v/>
      </c>
      <c r="L12" s="21">
        <f>IF(AND(ISNUMBER(H12), ISNUMBER(H14)), H14-H12, "")</f>
        <v/>
      </c>
      <c r="M12" s="22">
        <f>IF(AND(ISNUMBER(H12), ISNUMBER(H14)), IF(H12&gt;0, (H14-H12)/H12, (H14-H12)/25), "")</f>
        <v/>
      </c>
      <c r="N12" s="22">
        <f>IF(AND(ISNUMBER(K12), ISNUMBER(K14)), K14-K12, "")</f>
        <v/>
      </c>
    </row>
    <row r="13">
      <c r="A13" s="23" t="n"/>
      <c r="B13" s="24" t="inlineStr">
        <is>
          <t>2. 課堂 (第2月)</t>
        </is>
      </c>
      <c r="C13" s="16" t="n">
        <v>3</v>
      </c>
      <c r="D13" s="16" t="n">
        <v>3</v>
      </c>
      <c r="E13" s="16" t="n">
        <v>3</v>
      </c>
      <c r="F13" s="16" t="n">
        <v>4</v>
      </c>
      <c r="G13" s="16" t="n">
        <v>3</v>
      </c>
      <c r="H13" s="17">
        <f>IF(COUNT(C13:G13)&gt;0, SUM(C13:G13), "")</f>
        <v/>
      </c>
      <c r="I13" s="18">
        <f>IF(COUNT(C13:G13)&gt;0, AVERAGE(C13:G13), "")</f>
        <v/>
      </c>
      <c r="J13" s="19">
        <f>IF(I13="","",IF(I13&gt;=4.5,"🟢 獨立完成",IF(I13&gt;=3.5,"🔵 口語提醒",IF(I13&gt;=2.0,"🟡 肢體/部分協助","🟠 尚未學會"))))</f>
        <v/>
      </c>
      <c r="K13" s="20">
        <f>IF(ISNUMBER(H13), H13/25, "")</f>
        <v/>
      </c>
      <c r="L13" s="23" t="n"/>
      <c r="M13" s="23" t="n"/>
      <c r="N13" s="23" t="n"/>
    </row>
    <row r="14">
      <c r="A14" s="23" t="n"/>
      <c r="B14" s="25" t="inlineStr">
        <is>
          <t>3. 後測 (第3月)</t>
        </is>
      </c>
      <c r="C14" s="16" t="n">
        <v>4</v>
      </c>
      <c r="D14" s="16" t="n">
        <v>4</v>
      </c>
      <c r="E14" s="16" t="n">
        <v>4</v>
      </c>
      <c r="F14" s="16" t="n">
        <v>4</v>
      </c>
      <c r="G14" s="16" t="n">
        <v>4</v>
      </c>
      <c r="H14" s="17">
        <f>IF(COUNT(C14:G14)&gt;0, SUM(C14:G14), "")</f>
        <v/>
      </c>
      <c r="I14" s="18">
        <f>IF(COUNT(C14:G14)&gt;0, AVERAGE(C14:G14), "")</f>
        <v/>
      </c>
      <c r="J14" s="19">
        <f>IF(I14="","",IF(I14&gt;=4.5,"🟢 獨立完成",IF(I14&gt;=3.5,"🔵 口語提醒",IF(I14&gt;=2.0,"🟡 肢體/部分協助","🟠 尚未學會"))))</f>
        <v/>
      </c>
      <c r="K14" s="20">
        <f>IF(ISNUMBER(H14), H14/25, "")</f>
        <v/>
      </c>
      <c r="L14" s="23" t="n"/>
      <c r="M14" s="23" t="n"/>
      <c r="N14" s="23" t="n"/>
    </row>
    <row r="15">
      <c r="A15" s="14" t="inlineStr">
        <is>
          <t>芷嫻</t>
        </is>
      </c>
      <c r="B15" s="15" t="inlineStr">
        <is>
          <t>1. 前測 (第1月)</t>
        </is>
      </c>
      <c r="C15" s="16" t="n">
        <v>3</v>
      </c>
      <c r="D15" s="16" t="n">
        <v>3</v>
      </c>
      <c r="E15" s="16" t="n">
        <v>4</v>
      </c>
      <c r="F15" s="16" t="n">
        <v>3</v>
      </c>
      <c r="G15" s="16" t="n">
        <v>4</v>
      </c>
      <c r="H15" s="17">
        <f>IF(COUNT(C15:G15)&gt;0, SUM(C15:G15), "")</f>
        <v/>
      </c>
      <c r="I15" s="18">
        <f>IF(COUNT(C15:G15)&gt;0, AVERAGE(C15:G15), "")</f>
        <v/>
      </c>
      <c r="J15" s="19">
        <f>IF(I15="","",IF(I15&gt;=4.5,"🟢 獨立完成",IF(I15&gt;=3.5,"🔵 口語提醒",IF(I15&gt;=2.0,"🟡 肢體/部分協助","🟠 尚未學會"))))</f>
        <v/>
      </c>
      <c r="K15" s="20">
        <f>IF(ISNUMBER(H15), H15/25, "")</f>
        <v/>
      </c>
      <c r="L15" s="21">
        <f>IF(AND(ISNUMBER(H15), ISNUMBER(H17)), H17-H15, "")</f>
        <v/>
      </c>
      <c r="M15" s="22">
        <f>IF(AND(ISNUMBER(H15), ISNUMBER(H17)), IF(H15&gt;0, (H17-H15)/H15, (H17-H15)/25), "")</f>
        <v/>
      </c>
      <c r="N15" s="22">
        <f>IF(AND(ISNUMBER(K15), ISNUMBER(K17)), K17-K15, "")</f>
        <v/>
      </c>
    </row>
    <row r="16">
      <c r="A16" s="23" t="n"/>
      <c r="B16" s="24" t="inlineStr">
        <is>
          <t>2. 課堂 (第2月)</t>
        </is>
      </c>
      <c r="C16" s="16" t="n">
        <v>4</v>
      </c>
      <c r="D16" s="16" t="n">
        <v>4</v>
      </c>
      <c r="E16" s="16" t="n">
        <v>5</v>
      </c>
      <c r="F16" s="16" t="n">
        <v>4</v>
      </c>
      <c r="G16" s="16" t="n">
        <v>4</v>
      </c>
      <c r="H16" s="17">
        <f>IF(COUNT(C16:G16)&gt;0, SUM(C16:G16), "")</f>
        <v/>
      </c>
      <c r="I16" s="18">
        <f>IF(COUNT(C16:G16)&gt;0, AVERAGE(C16:G16), "")</f>
        <v/>
      </c>
      <c r="J16" s="19">
        <f>IF(I16="","",IF(I16&gt;=4.5,"🟢 獨立完成",IF(I16&gt;=3.5,"🔵 口語提醒",IF(I16&gt;=2.0,"🟡 肢體/部分協助","🟠 尚未學會"))))</f>
        <v/>
      </c>
      <c r="K16" s="20">
        <f>IF(ISNUMBER(H16), H16/25, "")</f>
        <v/>
      </c>
      <c r="L16" s="23" t="n"/>
      <c r="M16" s="23" t="n"/>
      <c r="N16" s="23" t="n"/>
    </row>
    <row r="17">
      <c r="A17" s="23" t="n"/>
      <c r="B17" s="25" t="inlineStr">
        <is>
          <t>3. 後測 (第3月)</t>
        </is>
      </c>
      <c r="C17" s="16" t="n">
        <v>5</v>
      </c>
      <c r="D17" s="16" t="n">
        <v>5</v>
      </c>
      <c r="E17" s="16" t="n">
        <v>5</v>
      </c>
      <c r="F17" s="16" t="n">
        <v>4</v>
      </c>
      <c r="G17" s="16" t="n">
        <v>5</v>
      </c>
      <c r="H17" s="17">
        <f>IF(COUNT(C17:G17)&gt;0, SUM(C17:G17), "")</f>
        <v/>
      </c>
      <c r="I17" s="18">
        <f>IF(COUNT(C17:G17)&gt;0, AVERAGE(C17:G17), "")</f>
        <v/>
      </c>
      <c r="J17" s="19">
        <f>IF(I17="","",IF(I17&gt;=4.5,"🟢 獨立完成",IF(I17&gt;=3.5,"🔵 口語提醒",IF(I17&gt;=2.0,"🟡 肢體/部分協助","🟠 尚未學會"))))</f>
        <v/>
      </c>
      <c r="K17" s="20">
        <f>IF(ISNUMBER(H17), H17/25, "")</f>
        <v/>
      </c>
      <c r="L17" s="23" t="n"/>
      <c r="M17" s="23" t="n"/>
      <c r="N17" s="23" t="n"/>
    </row>
    <row r="18">
      <c r="A18" s="14" t="inlineStr">
        <is>
          <t>志豪</t>
        </is>
      </c>
      <c r="B18" s="15" t="inlineStr">
        <is>
          <t>1. 前測 (第1月)</t>
        </is>
      </c>
      <c r="C18" s="16" t="n">
        <v>2</v>
      </c>
      <c r="D18" s="16" t="n">
        <v>3</v>
      </c>
      <c r="E18" s="16" t="n">
        <v>2</v>
      </c>
      <c r="F18" s="16" t="n">
        <v>3</v>
      </c>
      <c r="G18" s="16" t="n">
        <v>3</v>
      </c>
      <c r="H18" s="17">
        <f>IF(COUNT(C18:G18)&gt;0, SUM(C18:G18), "")</f>
        <v/>
      </c>
      <c r="I18" s="18">
        <f>IF(COUNT(C18:G18)&gt;0, AVERAGE(C18:G18), "")</f>
        <v/>
      </c>
      <c r="J18" s="19">
        <f>IF(I18="","",IF(I18&gt;=4.5,"🟢 獨立完成",IF(I18&gt;=3.5,"🔵 口語提醒",IF(I18&gt;=2.0,"🟡 肢體/部分協助","🟠 尚未學會"))))</f>
        <v/>
      </c>
      <c r="K18" s="20">
        <f>IF(ISNUMBER(H18), H18/25, "")</f>
        <v/>
      </c>
      <c r="L18" s="21">
        <f>IF(AND(ISNUMBER(H18), ISNUMBER(H20)), H20-H18, "")</f>
        <v/>
      </c>
      <c r="M18" s="22">
        <f>IF(AND(ISNUMBER(H18), ISNUMBER(H20)), IF(H18&gt;0, (H20-H18)/H18, (H20-H18)/25), "")</f>
        <v/>
      </c>
      <c r="N18" s="22">
        <f>IF(AND(ISNUMBER(K18), ISNUMBER(K20)), K20-K18, "")</f>
        <v/>
      </c>
    </row>
    <row r="19">
      <c r="A19" s="23" t="n"/>
      <c r="B19" s="24" t="inlineStr">
        <is>
          <t>2. 課堂 (第2月)</t>
        </is>
      </c>
      <c r="C19" s="16" t="n">
        <v>3</v>
      </c>
      <c r="D19" s="16" t="n">
        <v>4</v>
      </c>
      <c r="E19" s="16" t="n">
        <v>3</v>
      </c>
      <c r="F19" s="16" t="n">
        <v>4</v>
      </c>
      <c r="G19" s="16" t="n">
        <v>4</v>
      </c>
      <c r="H19" s="17">
        <f>IF(COUNT(C19:G19)&gt;0, SUM(C19:G19), "")</f>
        <v/>
      </c>
      <c r="I19" s="18">
        <f>IF(COUNT(C19:G19)&gt;0, AVERAGE(C19:G19), "")</f>
        <v/>
      </c>
      <c r="J19" s="19">
        <f>IF(I19="","",IF(I19&gt;=4.5,"🟢 獨立完成",IF(I19&gt;=3.5,"🔵 口語提醒",IF(I19&gt;=2.0,"🟡 肢體/部分協助","🟠 尚未學會"))))</f>
        <v/>
      </c>
      <c r="K19" s="20">
        <f>IF(ISNUMBER(H19), H19/25, "")</f>
        <v/>
      </c>
      <c r="L19" s="23" t="n"/>
      <c r="M19" s="23" t="n"/>
      <c r="N19" s="23" t="n"/>
    </row>
    <row r="20">
      <c r="A20" s="23" t="n"/>
      <c r="B20" s="25" t="inlineStr">
        <is>
          <t>3. 後測 (第3月)</t>
        </is>
      </c>
      <c r="C20" s="16" t="n">
        <v>4</v>
      </c>
      <c r="D20" s="16" t="n">
        <v>4</v>
      </c>
      <c r="E20" s="16" t="n">
        <v>4</v>
      </c>
      <c r="F20" s="16" t="n">
        <v>4</v>
      </c>
      <c r="G20" s="16" t="n">
        <v>4</v>
      </c>
      <c r="H20" s="17">
        <f>IF(COUNT(C20:G20)&gt;0, SUM(C20:G20), "")</f>
        <v/>
      </c>
      <c r="I20" s="18">
        <f>IF(COUNT(C20:G20)&gt;0, AVERAGE(C20:G20), "")</f>
        <v/>
      </c>
      <c r="J20" s="19">
        <f>IF(I20="","",IF(I20&gt;=4.5,"🟢 獨立完成",IF(I20&gt;=3.5,"🔵 口語提醒",IF(I20&gt;=2.0,"🟡 肢體/部分協助","🟠 尚未學會"))))</f>
        <v/>
      </c>
      <c r="K20" s="20">
        <f>IF(ISNUMBER(H20), H20/25, "")</f>
        <v/>
      </c>
      <c r="L20" s="23" t="n"/>
      <c r="M20" s="23" t="n"/>
      <c r="N20" s="23" t="n"/>
    </row>
    <row r="21">
      <c r="A21" s="14" t="inlineStr">
        <is>
          <t>雅婷</t>
        </is>
      </c>
      <c r="B21" s="15" t="inlineStr">
        <is>
          <t>1. 前測 (第1月)</t>
        </is>
      </c>
      <c r="C21" s="16" t="n">
        <v>3</v>
      </c>
      <c r="D21" s="16" t="n">
        <v>3</v>
      </c>
      <c r="E21" s="16" t="n">
        <v>3</v>
      </c>
      <c r="F21" s="16" t="n">
        <v>4</v>
      </c>
      <c r="G21" s="16" t="n">
        <v>3</v>
      </c>
      <c r="H21" s="17">
        <f>IF(COUNT(C21:G21)&gt;0, SUM(C21:G21), "")</f>
        <v/>
      </c>
      <c r="I21" s="18">
        <f>IF(COUNT(C21:G21)&gt;0, AVERAGE(C21:G21), "")</f>
        <v/>
      </c>
      <c r="J21" s="19">
        <f>IF(I21="","",IF(I21&gt;=4.5,"🟢 獨立完成",IF(I21&gt;=3.5,"🔵 口語提醒",IF(I21&gt;=2.0,"🟡 肢體/部分協助","🟠 尚未學會"))))</f>
        <v/>
      </c>
      <c r="K21" s="20">
        <f>IF(ISNUMBER(H21), H21/25, "")</f>
        <v/>
      </c>
      <c r="L21" s="21">
        <f>IF(AND(ISNUMBER(H21), ISNUMBER(H23)), H23-H21, "")</f>
        <v/>
      </c>
      <c r="M21" s="22">
        <f>IF(AND(ISNUMBER(H21), ISNUMBER(H23)), IF(H21&gt;0, (H23-H21)/H21, (H23-H21)/25), "")</f>
        <v/>
      </c>
      <c r="N21" s="22">
        <f>IF(AND(ISNUMBER(K21), ISNUMBER(K23)), K23-K21, "")</f>
        <v/>
      </c>
    </row>
    <row r="22">
      <c r="A22" s="23" t="n"/>
      <c r="B22" s="24" t="inlineStr">
        <is>
          <t>2. 課堂 (第2月)</t>
        </is>
      </c>
      <c r="C22" s="16" t="n">
        <v>4</v>
      </c>
      <c r="D22" s="16" t="n">
        <v>4</v>
      </c>
      <c r="E22" s="16" t="n">
        <v>4</v>
      </c>
      <c r="F22" s="16" t="n">
        <v>4</v>
      </c>
      <c r="G22" s="16" t="n">
        <v>4</v>
      </c>
      <c r="H22" s="17">
        <f>IF(COUNT(C22:G22)&gt;0, SUM(C22:G22), "")</f>
        <v/>
      </c>
      <c r="I22" s="18">
        <f>IF(COUNT(C22:G22)&gt;0, AVERAGE(C22:G22), "")</f>
        <v/>
      </c>
      <c r="J22" s="19">
        <f>IF(I22="","",IF(I22&gt;=4.5,"🟢 獨立完成",IF(I22&gt;=3.5,"🔵 口語提醒",IF(I22&gt;=2.0,"🟡 肢體/部分協助","🟠 尚未學會"))))</f>
        <v/>
      </c>
      <c r="K22" s="20">
        <f>IF(ISNUMBER(H22), H22/25, "")</f>
        <v/>
      </c>
      <c r="L22" s="23" t="n"/>
      <c r="M22" s="23" t="n"/>
      <c r="N22" s="23" t="n"/>
    </row>
    <row r="23">
      <c r="A23" s="23" t="n"/>
      <c r="B23" s="25" t="inlineStr">
        <is>
          <t>3. 後測 (第3月)</t>
        </is>
      </c>
      <c r="C23" s="16" t="n">
        <v>5</v>
      </c>
      <c r="D23" s="16" t="n">
        <v>5</v>
      </c>
      <c r="E23" s="16" t="n">
        <v>4</v>
      </c>
      <c r="F23" s="16" t="n">
        <v>5</v>
      </c>
      <c r="G23" s="16" t="n">
        <v>5</v>
      </c>
      <c r="H23" s="17">
        <f>IF(COUNT(C23:G23)&gt;0, SUM(C23:G23), "")</f>
        <v/>
      </c>
      <c r="I23" s="18">
        <f>IF(COUNT(C23:G23)&gt;0, AVERAGE(C23:G23), "")</f>
        <v/>
      </c>
      <c r="J23" s="19">
        <f>IF(I23="","",IF(I23&gt;=4.5,"🟢 獨立完成",IF(I23&gt;=3.5,"🔵 口語提醒",IF(I23&gt;=2.0,"🟡 肢體/部分協助","🟠 尚未學會"))))</f>
        <v/>
      </c>
      <c r="K23" s="20">
        <f>IF(ISNUMBER(H23), H23/25, "")</f>
        <v/>
      </c>
      <c r="L23" s="23" t="n"/>
      <c r="M23" s="23" t="n"/>
      <c r="N23" s="23" t="n"/>
    </row>
    <row r="24">
      <c r="A24" s="26" t="inlineStr">
        <is>
          <t>全班平均常模</t>
        </is>
      </c>
      <c r="C24" s="27">
        <f>IFERROR(AVERAGE(C6:C23), "-")</f>
        <v/>
      </c>
      <c r="D24" s="27">
        <f>IFERROR(AVERAGE(D6:D23), "-")</f>
        <v/>
      </c>
      <c r="E24" s="27">
        <f>IFERROR(AVERAGE(E6:E23), "-")</f>
        <v/>
      </c>
      <c r="F24" s="27">
        <f>IFERROR(AVERAGE(F6:F23), "-")</f>
        <v/>
      </c>
      <c r="G24" s="27">
        <f>IFERROR(AVERAGE(G6:G23), "-")</f>
        <v/>
      </c>
      <c r="H24" s="27">
        <f>IFERROR(AVERAGE(H6:H23), "-")</f>
        <v/>
      </c>
      <c r="I24" s="27">
        <f>IFERROR(AVERAGE(I6:I23), "-")</f>
        <v/>
      </c>
      <c r="J24" s="27" t="inlineStr">
        <is>
          <t>-</t>
        </is>
      </c>
      <c r="K24" s="27">
        <f>IFERROR(AVERAGE(K6:K23), "-")</f>
        <v/>
      </c>
      <c r="L24" s="27">
        <f>IFERROR(AVERAGE(L6:L23), "-")</f>
        <v/>
      </c>
      <c r="M24" s="27">
        <f>IFERROR(AVERAGE(M6:M23), "-")</f>
        <v/>
      </c>
      <c r="N24" s="27">
        <f>IFERROR(AVERAGE(N6:N23), "-")</f>
        <v/>
      </c>
    </row>
    <row r="27">
      <c r="A27" s="28" t="inlineStr">
        <is>
          <t>【Q3 檢核指標工作分析項目清單】</t>
        </is>
      </c>
    </row>
    <row r="28">
      <c r="A28" s="29" t="inlineStr">
        <is>
          <t>指標 1</t>
        </is>
      </c>
      <c r="B28" s="30" t="inlineStr">
        <is>
          <t>1. 熟練地震避難口訣「趴下、掩護、穩住（躲、遮、抓）」，確實躲入桌下抓穩桌腳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</row>
    <row r="29">
      <c r="A29" s="29" t="inlineStr">
        <is>
          <t>指標 2</t>
        </is>
      </c>
      <c r="B29" s="30" t="inlineStr">
        <is>
          <t>2. 能於非桌區（如作業區玻璃旁）迅速遠離玻璃、尋找柱子避難，睡覺時以枕頭護頭</t>
        </is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</row>
    <row r="30">
      <c r="A30" s="29" t="inlineStr">
        <is>
          <t>指標 3</t>
        </is>
      </c>
      <c r="B30" s="30" t="inlineStr">
        <is>
          <t>3. 聽聞火警警報迅速關閉教室門、用毛巾塞門縫防煙，並確實往陽台/室外避難</t>
        </is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</row>
    <row r="31">
      <c r="A31" s="29" t="inlineStr">
        <is>
          <t>指標 4</t>
        </is>
      </c>
      <c r="B31" s="30" t="inlineStr">
        <is>
          <t>4. 能正確操作滅火器四步驟「拉（插梢）、瞄（火源根部）、壓（握把）、掃（左右掃射）」</t>
        </is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</row>
    <row r="32">
      <c r="A32" s="29" t="inlineStr">
        <is>
          <t>指標 5</t>
        </is>
      </c>
      <c r="B32" s="30" t="inlineStr">
        <is>
          <t>5. 能辨識用路危險（路邊車輛遮蔽視線、無號誌路口、保持行走動線通暢）</t>
        </is>
      </c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</row>
  </sheetData>
  <mergeCells count="34">
    <mergeCell ref="A21:A23"/>
    <mergeCell ref="A24:B24"/>
    <mergeCell ref="A12:A14"/>
    <mergeCell ref="M12:M14"/>
    <mergeCell ref="M18:M20"/>
    <mergeCell ref="M21:M23"/>
    <mergeCell ref="B30:N30"/>
    <mergeCell ref="N6:N8"/>
    <mergeCell ref="L9:L11"/>
    <mergeCell ref="N9:N11"/>
    <mergeCell ref="L6:L8"/>
    <mergeCell ref="L21:L23"/>
    <mergeCell ref="B32:N32"/>
    <mergeCell ref="N15:N17"/>
    <mergeCell ref="A15:A17"/>
    <mergeCell ref="A9:A11"/>
    <mergeCell ref="M9:M11"/>
    <mergeCell ref="A3:N3"/>
    <mergeCell ref="B31:N31"/>
    <mergeCell ref="A4:A5"/>
    <mergeCell ref="A6:A8"/>
    <mergeCell ref="A1:N2"/>
    <mergeCell ref="M6:M8"/>
    <mergeCell ref="L12:L14"/>
    <mergeCell ref="L18:L20"/>
    <mergeCell ref="B4:B5"/>
    <mergeCell ref="N12:N14"/>
    <mergeCell ref="N18:N20"/>
    <mergeCell ref="N21:N23"/>
    <mergeCell ref="L15:L17"/>
    <mergeCell ref="B29:N29"/>
    <mergeCell ref="M15:M17"/>
    <mergeCell ref="A18:A20"/>
    <mergeCell ref="B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8" customWidth="1" min="9" max="9"/>
    <col width="10" customWidth="1" min="10" max="10"/>
    <col width="11" customWidth="1" min="11" max="11"/>
    <col width="11" customWidth="1" min="12" max="12"/>
    <col width="13" customWidth="1" min="13" max="13"/>
  </cols>
  <sheetData>
    <row r="1">
      <c r="A1" s="7" t="inlineStr">
        <is>
          <t>瑞翔日間作業所 116年度終身學習 - 第四季 (10~12月)：食品安全守則、期限判讀與生活消費管理</t>
        </is>
      </c>
    </row>
    <row r="2"/>
    <row r="3">
      <c r="A3" s="8" t="inlineStr">
        <is>
          <t>【提示等級說明】5:獨立完成(＋) ｜ 4:口語提醒(Ｖ) ｜ 3:肢體協助(Ｐ) ｜ 2:部分協助 ｜ 1:尚未學會(－) ｜ 0:無法配合</t>
        </is>
      </c>
    </row>
    <row r="4">
      <c r="A4" s="9" t="inlineStr">
        <is>
          <t>學員姓名</t>
        </is>
      </c>
      <c r="B4" s="9" t="inlineStr">
        <is>
          <t>評量階段</t>
        </is>
      </c>
      <c r="C4" s="10" t="inlineStr">
        <is>
          <t>指標 1</t>
        </is>
      </c>
      <c r="D4" s="10" t="inlineStr">
        <is>
          <t>指標 2</t>
        </is>
      </c>
      <c r="E4" s="10" t="inlineStr">
        <is>
          <t>指標 3</t>
        </is>
      </c>
      <c r="F4" s="10" t="inlineStr">
        <is>
          <t>指標 4</t>
        </is>
      </c>
      <c r="G4" s="11" t="inlineStr">
        <is>
          <t>總得分</t>
        </is>
      </c>
      <c r="H4" s="11" t="inlineStr">
        <is>
          <t>平均分</t>
        </is>
      </c>
      <c r="I4" s="11" t="inlineStr">
        <is>
          <t>學習自立階段</t>
        </is>
      </c>
      <c r="J4" s="11" t="inlineStr">
        <is>
          <t>達成率</t>
        </is>
      </c>
      <c r="K4" s="11" t="inlineStr">
        <is>
          <t>進步分數</t>
        </is>
      </c>
      <c r="L4" s="11" t="inlineStr">
        <is>
          <t>進步率</t>
        </is>
      </c>
      <c r="M4" s="11" t="inlineStr">
        <is>
          <t>成長百分點</t>
        </is>
      </c>
    </row>
    <row r="5">
      <c r="C5" s="12" t="inlineStr">
        <is>
          <t>(0~5分)</t>
        </is>
      </c>
      <c r="D5" s="12" t="inlineStr">
        <is>
          <t>(0~5分)</t>
        </is>
      </c>
      <c r="E5" s="12" t="inlineStr">
        <is>
          <t>(0~5分)</t>
        </is>
      </c>
      <c r="F5" s="12" t="inlineStr">
        <is>
          <t>(0~5分)</t>
        </is>
      </c>
      <c r="G5" s="13" t="inlineStr">
        <is>
          <t>(滿分20)</t>
        </is>
      </c>
      <c r="H5" s="13" t="inlineStr">
        <is>
          <t>(0~5分)</t>
        </is>
      </c>
      <c r="I5" s="13" t="inlineStr">
        <is>
          <t>(等級標記)</t>
        </is>
      </c>
      <c r="J5" s="13" t="inlineStr">
        <is>
          <t>(%)</t>
        </is>
      </c>
      <c r="K5" s="13" t="inlineStr">
        <is>
          <t>(後-前)</t>
        </is>
      </c>
      <c r="L5" s="13" t="inlineStr">
        <is>
          <t>(%)</t>
        </is>
      </c>
      <c r="M5" s="13" t="inlineStr">
        <is>
          <t>(%pt)</t>
        </is>
      </c>
    </row>
    <row r="6">
      <c r="A6" s="14" t="inlineStr">
        <is>
          <t>宇彤</t>
        </is>
      </c>
      <c r="B6" s="15" t="inlineStr">
        <is>
          <t>1. 前測 (第1月)</t>
        </is>
      </c>
      <c r="C6" s="16" t="n">
        <v>3</v>
      </c>
      <c r="D6" s="16" t="n">
        <v>3</v>
      </c>
      <c r="E6" s="16" t="n">
        <v>3</v>
      </c>
      <c r="F6" s="16" t="n">
        <v>3</v>
      </c>
      <c r="G6" s="17">
        <f>IF(COUNT(C6:F6)&gt;0, SUM(C6:F6), "")</f>
        <v/>
      </c>
      <c r="H6" s="18">
        <f>IF(COUNT(C6:F6)&gt;0, AVERAGE(C6:F6), "")</f>
        <v/>
      </c>
      <c r="I6" s="19">
        <f>IF(H6="","",IF(H6&gt;=4.5,"🟢 獨立完成",IF(H6&gt;=3.5,"🔵 口語提醒",IF(H6&gt;=2.0,"🟡 肢體/部分協助","🟠 尚未學會"))))</f>
        <v/>
      </c>
      <c r="J6" s="20">
        <f>IF(ISNUMBER(G6), G6/20, "")</f>
        <v/>
      </c>
      <c r="K6" s="21">
        <f>IF(AND(ISNUMBER(G6), ISNUMBER(G8)), G8-G6, "")</f>
        <v/>
      </c>
      <c r="L6" s="22">
        <f>IF(AND(ISNUMBER(G6), ISNUMBER(G8)), IF(G6&gt;0, (G8-G6)/G6, (G8-G6)/20), "")</f>
        <v/>
      </c>
      <c r="M6" s="22">
        <f>IF(AND(ISNUMBER(J6), ISNUMBER(J8)), J8-J6, "")</f>
        <v/>
      </c>
    </row>
    <row r="7">
      <c r="A7" s="23" t="n"/>
      <c r="B7" s="24" t="inlineStr">
        <is>
          <t>2. 課堂 (第2月)</t>
        </is>
      </c>
      <c r="C7" s="16" t="n">
        <v>4</v>
      </c>
      <c r="D7" s="16" t="n">
        <v>4</v>
      </c>
      <c r="E7" s="16" t="n">
        <v>4</v>
      </c>
      <c r="F7" s="16" t="n">
        <v>4</v>
      </c>
      <c r="G7" s="17">
        <f>IF(COUNT(C7:F7)&gt;0, SUM(C7:F7), "")</f>
        <v/>
      </c>
      <c r="H7" s="18">
        <f>IF(COUNT(C7:F7)&gt;0, AVERAGE(C7:F7), "")</f>
        <v/>
      </c>
      <c r="I7" s="19">
        <f>IF(H7="","",IF(H7&gt;=4.5,"🟢 獨立完成",IF(H7&gt;=3.5,"🔵 口語提醒",IF(H7&gt;=2.0,"🟡 肢體/部分協助","🟠 尚未學會"))))</f>
        <v/>
      </c>
      <c r="J7" s="20">
        <f>IF(ISNUMBER(G7), G7/20, "")</f>
        <v/>
      </c>
      <c r="K7" s="23" t="n"/>
      <c r="L7" s="23" t="n"/>
      <c r="M7" s="23" t="n"/>
    </row>
    <row r="8">
      <c r="A8" s="23" t="n"/>
      <c r="B8" s="25" t="inlineStr">
        <is>
          <t>3. 後測 (第3月)</t>
        </is>
      </c>
      <c r="C8" s="16" t="n">
        <v>5</v>
      </c>
      <c r="D8" s="16" t="n">
        <v>5</v>
      </c>
      <c r="E8" s="16" t="n">
        <v>4</v>
      </c>
      <c r="F8" s="16" t="n">
        <v>4</v>
      </c>
      <c r="G8" s="17">
        <f>IF(COUNT(C8:F8)&gt;0, SUM(C8:F8), "")</f>
        <v/>
      </c>
      <c r="H8" s="18">
        <f>IF(COUNT(C8:F8)&gt;0, AVERAGE(C8:F8), "")</f>
        <v/>
      </c>
      <c r="I8" s="19">
        <f>IF(H8="","",IF(H8&gt;=4.5,"🟢 獨立完成",IF(H8&gt;=3.5,"🔵 口語提醒",IF(H8&gt;=2.0,"🟡 肢體/部分協助","🟠 尚未學會"))))</f>
        <v/>
      </c>
      <c r="J8" s="20">
        <f>IF(ISNUMBER(G8), G8/20, "")</f>
        <v/>
      </c>
      <c r="K8" s="23" t="n"/>
      <c r="L8" s="23" t="n"/>
      <c r="M8" s="23" t="n"/>
    </row>
    <row r="9">
      <c r="A9" s="14" t="inlineStr">
        <is>
          <t>育萱</t>
        </is>
      </c>
      <c r="B9" s="15" t="inlineStr">
        <is>
          <t>1. 前測 (第1月)</t>
        </is>
      </c>
      <c r="C9" s="16" t="n">
        <v>4</v>
      </c>
      <c r="D9" s="16" t="n">
        <v>4</v>
      </c>
      <c r="E9" s="16" t="n">
        <v>4</v>
      </c>
      <c r="F9" s="16" t="n">
        <v>4</v>
      </c>
      <c r="G9" s="17">
        <f>IF(COUNT(C9:F9)&gt;0, SUM(C9:F9), "")</f>
        <v/>
      </c>
      <c r="H9" s="18">
        <f>IF(COUNT(C9:F9)&gt;0, AVERAGE(C9:F9), "")</f>
        <v/>
      </c>
      <c r="I9" s="19">
        <f>IF(H9="","",IF(H9&gt;=4.5,"🟢 獨立完成",IF(H9&gt;=3.5,"🔵 口語提醒",IF(H9&gt;=2.0,"🟡 肢體/部分協助","🟠 尚未學會"))))</f>
        <v/>
      </c>
      <c r="J9" s="20">
        <f>IF(ISNUMBER(G9), G9/20, "")</f>
        <v/>
      </c>
      <c r="K9" s="21">
        <f>IF(AND(ISNUMBER(G9), ISNUMBER(G11)), G11-G9, "")</f>
        <v/>
      </c>
      <c r="L9" s="22">
        <f>IF(AND(ISNUMBER(G9), ISNUMBER(G11)), IF(G9&gt;0, (G11-G9)/G9, (G11-G9)/20), "")</f>
        <v/>
      </c>
      <c r="M9" s="22">
        <f>IF(AND(ISNUMBER(J9), ISNUMBER(J11)), J11-J9, "")</f>
        <v/>
      </c>
    </row>
    <row r="10">
      <c r="A10" s="23" t="n"/>
      <c r="B10" s="24" t="inlineStr">
        <is>
          <t>2. 課堂 (第2月)</t>
        </is>
      </c>
      <c r="C10" s="16" t="n">
        <v>5</v>
      </c>
      <c r="D10" s="16" t="n">
        <v>5</v>
      </c>
      <c r="E10" s="16" t="n">
        <v>5</v>
      </c>
      <c r="F10" s="16" t="n">
        <v>5</v>
      </c>
      <c r="G10" s="17">
        <f>IF(COUNT(C10:F10)&gt;0, SUM(C10:F10), "")</f>
        <v/>
      </c>
      <c r="H10" s="18">
        <f>IF(COUNT(C10:F10)&gt;0, AVERAGE(C10:F10), "")</f>
        <v/>
      </c>
      <c r="I10" s="19">
        <f>IF(H10="","",IF(H10&gt;=4.5,"🟢 獨立完成",IF(H10&gt;=3.5,"🔵 口語提醒",IF(H10&gt;=2.0,"🟡 肢體/部分協助","🟠 尚未學會"))))</f>
        <v/>
      </c>
      <c r="J10" s="20">
        <f>IF(ISNUMBER(G10), G10/20, "")</f>
        <v/>
      </c>
      <c r="K10" s="23" t="n"/>
      <c r="L10" s="23" t="n"/>
      <c r="M10" s="23" t="n"/>
    </row>
    <row r="11">
      <c r="A11" s="23" t="n"/>
      <c r="B11" s="25" t="inlineStr">
        <is>
          <t>3. 後測 (第3月)</t>
        </is>
      </c>
      <c r="C11" s="16" t="n">
        <v>5</v>
      </c>
      <c r="D11" s="16" t="n">
        <v>5</v>
      </c>
      <c r="E11" s="16" t="n">
        <v>5</v>
      </c>
      <c r="F11" s="16" t="n">
        <v>5</v>
      </c>
      <c r="G11" s="17">
        <f>IF(COUNT(C11:F11)&gt;0, SUM(C11:F11), "")</f>
        <v/>
      </c>
      <c r="H11" s="18">
        <f>IF(COUNT(C11:F11)&gt;0, AVERAGE(C11:F11), "")</f>
        <v/>
      </c>
      <c r="I11" s="19">
        <f>IF(H11="","",IF(H11&gt;=4.5,"🟢 獨立完成",IF(H11&gt;=3.5,"🔵 口語提醒",IF(H11&gt;=2.0,"🟡 肢體/部分協助","🟠 尚未學會"))))</f>
        <v/>
      </c>
      <c r="J11" s="20">
        <f>IF(ISNUMBER(G11), G11/20, "")</f>
        <v/>
      </c>
      <c r="K11" s="23" t="n"/>
      <c r="L11" s="23" t="n"/>
      <c r="M11" s="23" t="n"/>
    </row>
    <row r="12">
      <c r="A12" s="14" t="inlineStr">
        <is>
          <t>高齊</t>
        </is>
      </c>
      <c r="B12" s="15" t="inlineStr">
        <is>
          <t>1. 前測 (第1月)</t>
        </is>
      </c>
      <c r="C12" s="16" t="n">
        <v>2</v>
      </c>
      <c r="D12" s="16" t="n">
        <v>2</v>
      </c>
      <c r="E12" s="16" t="n">
        <v>3</v>
      </c>
      <c r="F12" s="16" t="n">
        <v>2</v>
      </c>
      <c r="G12" s="17">
        <f>IF(COUNT(C12:F12)&gt;0, SUM(C12:F12), "")</f>
        <v/>
      </c>
      <c r="H12" s="18">
        <f>IF(COUNT(C12:F12)&gt;0, AVERAGE(C12:F12), "")</f>
        <v/>
      </c>
      <c r="I12" s="19">
        <f>IF(H12="","",IF(H12&gt;=4.5,"🟢 獨立完成",IF(H12&gt;=3.5,"🔵 口語提醒",IF(H12&gt;=2.0,"🟡 肢體/部分協助","🟠 尚未學會"))))</f>
        <v/>
      </c>
      <c r="J12" s="20">
        <f>IF(ISNUMBER(G12), G12/20, "")</f>
        <v/>
      </c>
      <c r="K12" s="21">
        <f>IF(AND(ISNUMBER(G12), ISNUMBER(G14)), G14-G12, "")</f>
        <v/>
      </c>
      <c r="L12" s="22">
        <f>IF(AND(ISNUMBER(G12), ISNUMBER(G14)), IF(G12&gt;0, (G14-G12)/G12, (G14-G12)/20), "")</f>
        <v/>
      </c>
      <c r="M12" s="22">
        <f>IF(AND(ISNUMBER(J12), ISNUMBER(J14)), J14-J12, "")</f>
        <v/>
      </c>
    </row>
    <row r="13">
      <c r="A13" s="23" t="n"/>
      <c r="B13" s="24" t="inlineStr">
        <is>
          <t>2. 課堂 (第2月)</t>
        </is>
      </c>
      <c r="C13" s="16" t="n">
        <v>3</v>
      </c>
      <c r="D13" s="16" t="n">
        <v>4</v>
      </c>
      <c r="E13" s="16" t="n">
        <v>3</v>
      </c>
      <c r="F13" s="16" t="n">
        <v>3</v>
      </c>
      <c r="G13" s="17">
        <f>IF(COUNT(C13:F13)&gt;0, SUM(C13:F13), "")</f>
        <v/>
      </c>
      <c r="H13" s="18">
        <f>IF(COUNT(C13:F13)&gt;0, AVERAGE(C13:F13), "")</f>
        <v/>
      </c>
      <c r="I13" s="19">
        <f>IF(H13="","",IF(H13&gt;=4.5,"🟢 獨立完成",IF(H13&gt;=3.5,"🔵 口語提醒",IF(H13&gt;=2.0,"🟡 肢體/部分協助","🟠 尚未學會"))))</f>
        <v/>
      </c>
      <c r="J13" s="20">
        <f>IF(ISNUMBER(G13), G13/20, "")</f>
        <v/>
      </c>
      <c r="K13" s="23" t="n"/>
      <c r="L13" s="23" t="n"/>
      <c r="M13" s="23" t="n"/>
    </row>
    <row r="14">
      <c r="A14" s="23" t="n"/>
      <c r="B14" s="25" t="inlineStr">
        <is>
          <t>3. 後測 (第3月)</t>
        </is>
      </c>
      <c r="C14" s="16" t="n">
        <v>4</v>
      </c>
      <c r="D14" s="16" t="n">
        <v>4</v>
      </c>
      <c r="E14" s="16" t="n">
        <v>4</v>
      </c>
      <c r="F14" s="16" t="n">
        <v>4</v>
      </c>
      <c r="G14" s="17">
        <f>IF(COUNT(C14:F14)&gt;0, SUM(C14:F14), "")</f>
        <v/>
      </c>
      <c r="H14" s="18">
        <f>IF(COUNT(C14:F14)&gt;0, AVERAGE(C14:F14), "")</f>
        <v/>
      </c>
      <c r="I14" s="19">
        <f>IF(H14="","",IF(H14&gt;=4.5,"🟢 獨立完成",IF(H14&gt;=3.5,"🔵 口語提醒",IF(H14&gt;=2.0,"🟡 肢體/部分協助","🟠 尚未學會"))))</f>
        <v/>
      </c>
      <c r="J14" s="20">
        <f>IF(ISNUMBER(G14), G14/20, "")</f>
        <v/>
      </c>
      <c r="K14" s="23" t="n"/>
      <c r="L14" s="23" t="n"/>
      <c r="M14" s="23" t="n"/>
    </row>
    <row r="15">
      <c r="A15" s="14" t="inlineStr">
        <is>
          <t>芷嫻</t>
        </is>
      </c>
      <c r="B15" s="15" t="inlineStr">
        <is>
          <t>1. 前測 (第1月)</t>
        </is>
      </c>
      <c r="C15" s="16" t="n">
        <v>3</v>
      </c>
      <c r="D15" s="16" t="n">
        <v>4</v>
      </c>
      <c r="E15" s="16" t="n">
        <v>3</v>
      </c>
      <c r="F15" s="16" t="n">
        <v>4</v>
      </c>
      <c r="G15" s="17">
        <f>IF(COUNT(C15:F15)&gt;0, SUM(C15:F15), "")</f>
        <v/>
      </c>
      <c r="H15" s="18">
        <f>IF(COUNT(C15:F15)&gt;0, AVERAGE(C15:F15), "")</f>
        <v/>
      </c>
      <c r="I15" s="19">
        <f>IF(H15="","",IF(H15&gt;=4.5,"🟢 獨立完成",IF(H15&gt;=3.5,"🔵 口語提醒",IF(H15&gt;=2.0,"🟡 肢體/部分協助","🟠 尚未學會"))))</f>
        <v/>
      </c>
      <c r="J15" s="20">
        <f>IF(ISNUMBER(G15), G15/20, "")</f>
        <v/>
      </c>
      <c r="K15" s="21">
        <f>IF(AND(ISNUMBER(G15), ISNUMBER(G17)), G17-G15, "")</f>
        <v/>
      </c>
      <c r="L15" s="22">
        <f>IF(AND(ISNUMBER(G15), ISNUMBER(G17)), IF(G15&gt;0, (G17-G15)/G15, (G17-G15)/20), "")</f>
        <v/>
      </c>
      <c r="M15" s="22">
        <f>IF(AND(ISNUMBER(J15), ISNUMBER(J17)), J17-J15, "")</f>
        <v/>
      </c>
    </row>
    <row r="16">
      <c r="A16" s="23" t="n"/>
      <c r="B16" s="24" t="inlineStr">
        <is>
          <t>2. 課堂 (第2月)</t>
        </is>
      </c>
      <c r="C16" s="16" t="n">
        <v>4</v>
      </c>
      <c r="D16" s="16" t="n">
        <v>4</v>
      </c>
      <c r="E16" s="16" t="n">
        <v>4</v>
      </c>
      <c r="F16" s="16" t="n">
        <v>5</v>
      </c>
      <c r="G16" s="17">
        <f>IF(COUNT(C16:F16)&gt;0, SUM(C16:F16), "")</f>
        <v/>
      </c>
      <c r="H16" s="18">
        <f>IF(COUNT(C16:F16)&gt;0, AVERAGE(C16:F16), "")</f>
        <v/>
      </c>
      <c r="I16" s="19">
        <f>IF(H16="","",IF(H16&gt;=4.5,"🟢 獨立完成",IF(H16&gt;=3.5,"🔵 口語提醒",IF(H16&gt;=2.0,"🟡 肢體/部分協助","🟠 尚未學會"))))</f>
        <v/>
      </c>
      <c r="J16" s="20">
        <f>IF(ISNUMBER(G16), G16/20, "")</f>
        <v/>
      </c>
      <c r="K16" s="23" t="n"/>
      <c r="L16" s="23" t="n"/>
      <c r="M16" s="23" t="n"/>
    </row>
    <row r="17">
      <c r="A17" s="23" t="n"/>
      <c r="B17" s="25" t="inlineStr">
        <is>
          <t>3. 後測 (第3月)</t>
        </is>
      </c>
      <c r="C17" s="16" t="n">
        <v>5</v>
      </c>
      <c r="D17" s="16" t="n">
        <v>5</v>
      </c>
      <c r="E17" s="16" t="n">
        <v>4</v>
      </c>
      <c r="F17" s="16" t="n">
        <v>5</v>
      </c>
      <c r="G17" s="17">
        <f>IF(COUNT(C17:F17)&gt;0, SUM(C17:F17), "")</f>
        <v/>
      </c>
      <c r="H17" s="18">
        <f>IF(COUNT(C17:F17)&gt;0, AVERAGE(C17:F17), "")</f>
        <v/>
      </c>
      <c r="I17" s="19">
        <f>IF(H17="","",IF(H17&gt;=4.5,"🟢 獨立完成",IF(H17&gt;=3.5,"🔵 口語提醒",IF(H17&gt;=2.0,"🟡 肢體/部分協助","🟠 尚未學會"))))</f>
        <v/>
      </c>
      <c r="J17" s="20">
        <f>IF(ISNUMBER(G17), G17/20, "")</f>
        <v/>
      </c>
      <c r="K17" s="23" t="n"/>
      <c r="L17" s="23" t="n"/>
      <c r="M17" s="23" t="n"/>
    </row>
    <row r="18">
      <c r="A18" s="14" t="inlineStr">
        <is>
          <t>志豪</t>
        </is>
      </c>
      <c r="B18" s="15" t="inlineStr">
        <is>
          <t>1. 前測 (第1月)</t>
        </is>
      </c>
      <c r="C18" s="16" t="n">
        <v>2</v>
      </c>
      <c r="D18" s="16" t="n">
        <v>3</v>
      </c>
      <c r="E18" s="16" t="n">
        <v>3</v>
      </c>
      <c r="F18" s="16" t="n">
        <v>2</v>
      </c>
      <c r="G18" s="17">
        <f>IF(COUNT(C18:F18)&gt;0, SUM(C18:F18), "")</f>
        <v/>
      </c>
      <c r="H18" s="18">
        <f>IF(COUNT(C18:F18)&gt;0, AVERAGE(C18:F18), "")</f>
        <v/>
      </c>
      <c r="I18" s="19">
        <f>IF(H18="","",IF(H18&gt;=4.5,"🟢 獨立完成",IF(H18&gt;=3.5,"🔵 口語提醒",IF(H18&gt;=2.0,"🟡 肢體/部分協助","🟠 尚未學會"))))</f>
        <v/>
      </c>
      <c r="J18" s="20">
        <f>IF(ISNUMBER(G18), G18/20, "")</f>
        <v/>
      </c>
      <c r="K18" s="21">
        <f>IF(AND(ISNUMBER(G18), ISNUMBER(G20)), G20-G18, "")</f>
        <v/>
      </c>
      <c r="L18" s="22">
        <f>IF(AND(ISNUMBER(G18), ISNUMBER(G20)), IF(G18&gt;0, (G20-G18)/G18, (G20-G18)/20), "")</f>
        <v/>
      </c>
      <c r="M18" s="22">
        <f>IF(AND(ISNUMBER(J18), ISNUMBER(J20)), J20-J18, "")</f>
        <v/>
      </c>
    </row>
    <row r="19">
      <c r="A19" s="23" t="n"/>
      <c r="B19" s="24" t="inlineStr">
        <is>
          <t>2. 課堂 (第2月)</t>
        </is>
      </c>
      <c r="C19" s="16" t="n">
        <v>3</v>
      </c>
      <c r="D19" s="16" t="n">
        <v>4</v>
      </c>
      <c r="E19" s="16" t="n">
        <v>4</v>
      </c>
      <c r="F19" s="16" t="n">
        <v>3</v>
      </c>
      <c r="G19" s="17">
        <f>IF(COUNT(C19:F19)&gt;0, SUM(C19:F19), "")</f>
        <v/>
      </c>
      <c r="H19" s="18">
        <f>IF(COUNT(C19:F19)&gt;0, AVERAGE(C19:F19), "")</f>
        <v/>
      </c>
      <c r="I19" s="19">
        <f>IF(H19="","",IF(H19&gt;=4.5,"🟢 獨立完成",IF(H19&gt;=3.5,"🔵 口語提醒",IF(H19&gt;=2.0,"🟡 肢體/部分協助","🟠 尚未學會"))))</f>
        <v/>
      </c>
      <c r="J19" s="20">
        <f>IF(ISNUMBER(G19), G19/20, "")</f>
        <v/>
      </c>
      <c r="K19" s="23" t="n"/>
      <c r="L19" s="23" t="n"/>
      <c r="M19" s="23" t="n"/>
    </row>
    <row r="20">
      <c r="A20" s="23" t="n"/>
      <c r="B20" s="25" t="inlineStr">
        <is>
          <t>3. 後測 (第3月)</t>
        </is>
      </c>
      <c r="C20" s="16" t="n">
        <v>4</v>
      </c>
      <c r="D20" s="16" t="n">
        <v>4</v>
      </c>
      <c r="E20" s="16" t="n">
        <v>4</v>
      </c>
      <c r="F20" s="16" t="n">
        <v>4</v>
      </c>
      <c r="G20" s="17">
        <f>IF(COUNT(C20:F20)&gt;0, SUM(C20:F20), "")</f>
        <v/>
      </c>
      <c r="H20" s="18">
        <f>IF(COUNT(C20:F20)&gt;0, AVERAGE(C20:F20), "")</f>
        <v/>
      </c>
      <c r="I20" s="19">
        <f>IF(H20="","",IF(H20&gt;=4.5,"🟢 獨立完成",IF(H20&gt;=3.5,"🔵 口語提醒",IF(H20&gt;=2.0,"🟡 肢體/部分協助","🟠 尚未學會"))))</f>
        <v/>
      </c>
      <c r="J20" s="20">
        <f>IF(ISNUMBER(G20), G20/20, "")</f>
        <v/>
      </c>
      <c r="K20" s="23" t="n"/>
      <c r="L20" s="23" t="n"/>
      <c r="M20" s="23" t="n"/>
    </row>
    <row r="21">
      <c r="A21" s="14" t="inlineStr">
        <is>
          <t>雅婷</t>
        </is>
      </c>
      <c r="B21" s="15" t="inlineStr">
        <is>
          <t>1. 前測 (第1月)</t>
        </is>
      </c>
      <c r="C21" s="16" t="n">
        <v>3</v>
      </c>
      <c r="D21" s="16" t="n">
        <v>3</v>
      </c>
      <c r="E21" s="16" t="n">
        <v>4</v>
      </c>
      <c r="F21" s="16" t="n">
        <v>3</v>
      </c>
      <c r="G21" s="17">
        <f>IF(COUNT(C21:F21)&gt;0, SUM(C21:F21), "")</f>
        <v/>
      </c>
      <c r="H21" s="18">
        <f>IF(COUNT(C21:F21)&gt;0, AVERAGE(C21:F21), "")</f>
        <v/>
      </c>
      <c r="I21" s="19">
        <f>IF(H21="","",IF(H21&gt;=4.5,"🟢 獨立完成",IF(H21&gt;=3.5,"🔵 口語提醒",IF(H21&gt;=2.0,"🟡 肢體/部分協助","🟠 尚未學會"))))</f>
        <v/>
      </c>
      <c r="J21" s="20">
        <f>IF(ISNUMBER(G21), G21/20, "")</f>
        <v/>
      </c>
      <c r="K21" s="21">
        <f>IF(AND(ISNUMBER(G21), ISNUMBER(G23)), G23-G21, "")</f>
        <v/>
      </c>
      <c r="L21" s="22">
        <f>IF(AND(ISNUMBER(G21), ISNUMBER(G23)), IF(G21&gt;0, (G23-G21)/G21, (G23-G21)/20), "")</f>
        <v/>
      </c>
      <c r="M21" s="22">
        <f>IF(AND(ISNUMBER(J21), ISNUMBER(J23)), J23-J21, "")</f>
        <v/>
      </c>
    </row>
    <row r="22">
      <c r="A22" s="23" t="n"/>
      <c r="B22" s="24" t="inlineStr">
        <is>
          <t>2. 課堂 (第2月)</t>
        </is>
      </c>
      <c r="C22" s="16" t="n">
        <v>4</v>
      </c>
      <c r="D22" s="16" t="n">
        <v>4</v>
      </c>
      <c r="E22" s="16" t="n">
        <v>4</v>
      </c>
      <c r="F22" s="16" t="n">
        <v>4</v>
      </c>
      <c r="G22" s="17">
        <f>IF(COUNT(C22:F22)&gt;0, SUM(C22:F22), "")</f>
        <v/>
      </c>
      <c r="H22" s="18">
        <f>IF(COUNT(C22:F22)&gt;0, AVERAGE(C22:F22), "")</f>
        <v/>
      </c>
      <c r="I22" s="19">
        <f>IF(H22="","",IF(H22&gt;=4.5,"🟢 獨立完成",IF(H22&gt;=3.5,"🔵 口語提醒",IF(H22&gt;=2.0,"🟡 肢體/部分協助","🟠 尚未學會"))))</f>
        <v/>
      </c>
      <c r="J22" s="20">
        <f>IF(ISNUMBER(G22), G22/20, "")</f>
        <v/>
      </c>
      <c r="K22" s="23" t="n"/>
      <c r="L22" s="23" t="n"/>
      <c r="M22" s="23" t="n"/>
    </row>
    <row r="23">
      <c r="A23" s="23" t="n"/>
      <c r="B23" s="25" t="inlineStr">
        <is>
          <t>3. 後測 (第3月)</t>
        </is>
      </c>
      <c r="C23" s="16" t="n">
        <v>5</v>
      </c>
      <c r="D23" s="16" t="n">
        <v>5</v>
      </c>
      <c r="E23" s="16" t="n">
        <v>4</v>
      </c>
      <c r="F23" s="16" t="n">
        <v>5</v>
      </c>
      <c r="G23" s="17">
        <f>IF(COUNT(C23:F23)&gt;0, SUM(C23:F23), "")</f>
        <v/>
      </c>
      <c r="H23" s="18">
        <f>IF(COUNT(C23:F23)&gt;0, AVERAGE(C23:F23), "")</f>
        <v/>
      </c>
      <c r="I23" s="19">
        <f>IF(H23="","",IF(H23&gt;=4.5,"🟢 獨立完成",IF(H23&gt;=3.5,"🔵 口語提醒",IF(H23&gt;=2.0,"🟡 肢體/部分協助","🟠 尚未學會"))))</f>
        <v/>
      </c>
      <c r="J23" s="20">
        <f>IF(ISNUMBER(G23), G23/20, "")</f>
        <v/>
      </c>
      <c r="K23" s="23" t="n"/>
      <c r="L23" s="23" t="n"/>
      <c r="M23" s="23" t="n"/>
    </row>
    <row r="24">
      <c r="A24" s="26" t="inlineStr">
        <is>
          <t>全班平均常模</t>
        </is>
      </c>
      <c r="C24" s="27">
        <f>IFERROR(AVERAGE(C6:C23), "-")</f>
        <v/>
      </c>
      <c r="D24" s="27">
        <f>IFERROR(AVERAGE(D6:D23), "-")</f>
        <v/>
      </c>
      <c r="E24" s="27">
        <f>IFERROR(AVERAGE(E6:E23), "-")</f>
        <v/>
      </c>
      <c r="F24" s="27">
        <f>IFERROR(AVERAGE(F6:F23), "-")</f>
        <v/>
      </c>
      <c r="G24" s="27">
        <f>IFERROR(AVERAGE(G6:G23), "-")</f>
        <v/>
      </c>
      <c r="H24" s="27">
        <f>IFERROR(AVERAGE(H6:H23), "-")</f>
        <v/>
      </c>
      <c r="I24" s="27" t="inlineStr">
        <is>
          <t>-</t>
        </is>
      </c>
      <c r="J24" s="27">
        <f>IFERROR(AVERAGE(J6:J23), "-")</f>
        <v/>
      </c>
      <c r="K24" s="27">
        <f>IFERROR(AVERAGE(K6:K23), "-")</f>
        <v/>
      </c>
      <c r="L24" s="27">
        <f>IFERROR(AVERAGE(L6:L23), "-")</f>
        <v/>
      </c>
      <c r="M24" s="27">
        <f>IFERROR(AVERAGE(M6:M23), "-")</f>
        <v/>
      </c>
    </row>
    <row r="27">
      <c r="A27" s="28" t="inlineStr">
        <is>
          <t>【Q4 檢核指標工作分析項目清單】</t>
        </is>
      </c>
    </row>
    <row r="28">
      <c r="A28" s="29" t="inlineStr">
        <is>
          <t>指標 1</t>
        </is>
      </c>
      <c r="B28" s="30" t="inlineStr">
        <is>
          <t>1. 能於包裝上找出「EXP」、「有效日期」或「保存期限」標籤位置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</row>
    <row r="29">
      <c r="A29" s="29" t="inlineStr">
        <is>
          <t>指標 2</t>
        </is>
      </c>
      <c r="B29" s="30" t="inlineStr">
        <is>
          <t>2. 能對照月曆比對當日日期，正確判斷食品或用品是否過期，過期主動丟棄不食用</t>
        </is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</row>
    <row r="30">
      <c r="A30" s="29" t="inlineStr">
        <is>
          <t>指標 3</t>
        </is>
      </c>
      <c r="B30" s="30" t="inlineStr">
        <is>
          <t>3. 掌握油鍋起火應變三步驟（1關瓦斯、2蓋鍋蓋、3靜置冷卻，嚴禁潑水）</t>
        </is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</row>
    <row r="31">
      <c r="A31" s="29" t="inlineStr">
        <is>
          <t>指標 4</t>
        </is>
      </c>
      <c r="B31" s="30" t="inlineStr">
        <is>
          <t>4. 練習日常生活購物金錢清點（如辨識百元/千元鈔、核對找零）並養成收納習慣</t>
        </is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</row>
  </sheetData>
  <mergeCells count="33">
    <mergeCell ref="A21:A23"/>
    <mergeCell ref="A24:B24"/>
    <mergeCell ref="A12:A14"/>
    <mergeCell ref="M12:M14"/>
    <mergeCell ref="M18:M20"/>
    <mergeCell ref="A1:M2"/>
    <mergeCell ref="M21:M23"/>
    <mergeCell ref="L9:L11"/>
    <mergeCell ref="B29:M29"/>
    <mergeCell ref="K6:K8"/>
    <mergeCell ref="L6:L8"/>
    <mergeCell ref="B28:M28"/>
    <mergeCell ref="L21:L23"/>
    <mergeCell ref="A15:A17"/>
    <mergeCell ref="K15:K17"/>
    <mergeCell ref="B30:M30"/>
    <mergeCell ref="K9:K11"/>
    <mergeCell ref="A9:A11"/>
    <mergeCell ref="M9:M11"/>
    <mergeCell ref="K18:K20"/>
    <mergeCell ref="A4:A5"/>
    <mergeCell ref="K21:K23"/>
    <mergeCell ref="A6:A8"/>
    <mergeCell ref="M6:M8"/>
    <mergeCell ref="L12:L14"/>
    <mergeCell ref="L18:L20"/>
    <mergeCell ref="B4:B5"/>
    <mergeCell ref="B31:M31"/>
    <mergeCell ref="L15:L17"/>
    <mergeCell ref="A3:M3"/>
    <mergeCell ref="K12:K14"/>
    <mergeCell ref="M15:M17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2026-08-15T07:56:41Z</dcterms:created>
  <dcterms:modified xsi:type="dcterms:W3CDTF">2026-08-15T07:56:41Z</dcterms:modified>
</cp:coreProperties>
</file>