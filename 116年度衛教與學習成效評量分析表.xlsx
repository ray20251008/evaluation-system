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評分標準與說明" sheetId="1" state="visible" r:id="rId1"/>
    <sheet name="Q1評量打分" sheetId="2" state="visible" r:id="rId2"/>
    <sheet name="Q2評量打分" sheetId="3" state="visible" r:id="rId3"/>
    <sheet name="Q3評量打分" sheetId="4" state="visible" r:id="rId4"/>
    <sheet name="Q4評量打分" sheetId="5" state="visible" r:id="rId5"/>
    <sheet name="年度成果統計總表" sheetId="6" state="visible" r:id="rId6"/>
    <sheet name="ISP質性評語建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+0;-0;0"/>
    <numFmt numFmtId="167" formatCode="+0.0%;-0.0%;0.0%"/>
    <numFmt numFmtId="168" formatCode="+0.0;-0.0;0.0"/>
  </numFmts>
  <fonts count="16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1E3A8A"/>
      <sz val="12"/>
    </font>
    <font>
      <name val="微軟正黑體"/>
      <b val="1"/>
    </font>
    <font>
      <name val="微軟正黑體"/>
      <b val="1"/>
      <sz val="10"/>
    </font>
    <font>
      <name val="微軟正黑體"/>
      <b val="1"/>
      <color rgb="00FFFFFF"/>
      <sz val="14"/>
    </font>
    <font>
      <name val="微軟正黑體"/>
      <b val="1"/>
      <color rgb="001E3A8A"/>
      <sz val="10"/>
    </font>
    <font>
      <name val="微軟正黑體"/>
      <b val="1"/>
      <color rgb="00FFFFFF"/>
      <sz val="10"/>
    </font>
    <font>
      <name val="微軟正黑體"/>
      <color rgb="00FFFFFF"/>
      <sz val="8"/>
    </font>
    <font>
      <name val="微軟正黑體"/>
      <b val="1"/>
      <sz val="11"/>
    </font>
    <font>
      <name val="微軟正黑體"/>
      <sz val="9"/>
    </font>
    <font>
      <name val="微軟正黑體"/>
      <b val="1"/>
      <sz val="9"/>
    </font>
    <font>
      <name val="微軟正黑體"/>
      <b val="1"/>
      <color rgb="00166534"/>
      <sz val="10"/>
    </font>
    <font>
      <name val="微軟正黑體"/>
      <b val="1"/>
      <color rgb="001E3A8A"/>
      <sz val="11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D9488"/>
        <bgColor rgb="000D9488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14" fillId="9" borderId="1" applyAlignment="1" pivotButton="0" quotePrefix="0" xfId="0">
      <alignment horizontal="center" vertical="center"/>
    </xf>
    <xf numFmtId="167" fontId="14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168" fontId="6" fillId="5" borderId="2" applyAlignment="1" pivotButton="0" quotePrefix="0" xfId="0">
      <alignment horizontal="center" vertical="center"/>
    </xf>
    <xf numFmtId="167" fontId="6" fillId="5" borderId="2" applyAlignment="1" pivotButton="0" quotePrefix="0" xfId="0">
      <alignment horizontal="center" vertical="center"/>
    </xf>
    <xf numFmtId="0" fontId="15" fillId="0" borderId="0" pivotButton="0" quotePrefix="0" xfId="0"/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9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25" customWidth="1" min="4" max="4"/>
    <col width="12" customWidth="1" min="5" max="5"/>
    <col width="25" customWidth="1" min="6" max="6"/>
  </cols>
  <sheetData>
    <row r="1">
      <c r="A1" s="1" t="inlineStr">
        <is>
          <t>116年度身心障礙者服務衛教執行計畫暨成效評量手冊 - 評分標準與使用說明</t>
        </is>
      </c>
    </row>
    <row r="2"/>
    <row r="4">
      <c r="A4" s="2" t="inlineStr">
        <is>
          <t>分數</t>
        </is>
      </c>
      <c r="B4" s="2" t="inlineStr">
        <is>
          <t>評分等級</t>
        </is>
      </c>
      <c r="C4" s="2" t="inlineStr">
        <is>
          <t>判定標準與具體表現說明</t>
        </is>
      </c>
      <c r="D4" s="2" t="inlineStr">
        <is>
          <t>學習階段判定</t>
        </is>
      </c>
      <c r="E4" s="2" t="inlineStr">
        <is>
          <t>代表色彩</t>
        </is>
      </c>
      <c r="F4" s="2" t="inlineStr">
        <is>
          <t>備註說明</t>
        </is>
      </c>
    </row>
    <row r="5">
      <c r="A5" s="3" t="n">
        <v>5</v>
      </c>
      <c r="B5" s="3" t="inlineStr">
        <is>
          <t>可獨立完成</t>
        </is>
      </c>
      <c r="C5" s="4" t="inlineStr">
        <is>
          <t>不需要任何提示，能主動且正確無誤地完成完整步驟。</t>
        </is>
      </c>
      <c r="D5" s="3" t="inlineStr">
        <is>
          <t>🟢 獨立自主階段 (4.5~5.0分)</t>
        </is>
      </c>
      <c r="E5" s="3" t="inlineStr">
        <is>
          <t>綠色</t>
        </is>
      </c>
      <c r="F5" s="4" t="inlineStr">
        <is>
          <t>達到完全自立水準</t>
        </is>
      </c>
    </row>
    <row r="6">
      <c r="A6" s="5" t="n">
        <v>4</v>
      </c>
      <c r="B6" s="5" t="inlineStr">
        <is>
          <t>口語提示</t>
        </is>
      </c>
      <c r="C6" s="6" t="inlineStr">
        <is>
          <t>支持者給予口頭提醒（如：「夾的動作呢？」）即可正確完成。</t>
        </is>
      </c>
      <c r="D6" s="5" t="inlineStr">
        <is>
          <t>🔵 口語提示階段 (3.5~4.4分)</t>
        </is>
      </c>
      <c r="E6" s="5" t="inlineStr">
        <is>
          <t>藍色</t>
        </is>
      </c>
      <c r="F6" s="6" t="inlineStr">
        <is>
          <t>達到基本自立達標標準</t>
        </is>
      </c>
    </row>
    <row r="7">
      <c r="A7" s="3" t="n">
        <v>3</v>
      </c>
      <c r="B7" s="3" t="inlineStr">
        <is>
          <t>肢體協助</t>
        </is>
      </c>
      <c r="C7" s="4" t="inlineStr">
        <is>
          <t>需要支持者給予肢體引導或輕碰示範（如牽手引導角度）才能完成。</t>
        </is>
      </c>
      <c r="D7" s="3" t="inlineStr">
        <is>
          <t>🟡 肢體協助階段 (2.5~3.4分)</t>
        </is>
      </c>
      <c r="E7" s="3" t="inlineStr">
        <is>
          <t>黃色</t>
        </is>
      </c>
      <c r="F7" s="4" t="inlineStr">
        <is>
          <t>需日常持續操作練習</t>
        </is>
      </c>
    </row>
    <row r="8">
      <c r="A8" s="5" t="n">
        <v>2</v>
      </c>
      <c r="B8" s="5" t="inlineStr">
        <is>
          <t>部分協助</t>
        </is>
      </c>
      <c r="C8" s="6" t="inlineStr">
        <is>
          <t>需支持者協助操作超過一半或關鍵步驟才能完成。</t>
        </is>
      </c>
      <c r="D8" s="5" t="inlineStr">
        <is>
          <t>🟡 部分協助階段 (2.0~2.4分)</t>
        </is>
      </c>
      <c r="E8" s="5" t="inlineStr">
        <is>
          <t>橙色</t>
        </is>
      </c>
      <c r="F8" s="6" t="inlineStr">
        <is>
          <t>需拆解步驟個別引導</t>
        </is>
      </c>
    </row>
    <row r="9">
      <c r="A9" s="3" t="n">
        <v>1</v>
      </c>
      <c r="B9" s="3" t="inlineStr">
        <is>
          <t>大量協助</t>
        </is>
      </c>
      <c r="C9" s="4" t="inlineStr">
        <is>
          <t>大部分步驟由支持者代為操作，使用者僅能參與極少部分。</t>
        </is>
      </c>
      <c r="D9" s="3" t="inlineStr">
        <is>
          <t>🟠 大量協助階段 (1.0~1.9分)</t>
        </is>
      </c>
      <c r="E9" s="3" t="inlineStr">
        <is>
          <t>紅橙色</t>
        </is>
      </c>
      <c r="F9" s="4" t="inlineStr">
        <is>
          <t>需支持者全程密集陪伴</t>
        </is>
      </c>
    </row>
    <row r="10">
      <c r="A10" s="5" t="n">
        <v>0</v>
      </c>
      <c r="B10" s="5" t="inlineStr">
        <is>
          <t>無法完成</t>
        </is>
      </c>
      <c r="C10" s="6" t="inlineStr">
        <is>
          <t>即使提供大量協助仍無法完成或拒絕配合操作。</t>
        </is>
      </c>
      <c r="D10" s="5" t="inlineStr">
        <is>
          <t>🔴 引導探索階段 (0.0~0.9分)</t>
        </is>
      </c>
      <c r="E10" s="5" t="inlineStr">
        <is>
          <t>紅色</t>
        </is>
      </c>
      <c r="F10" s="6" t="inlineStr">
        <is>
          <t>需建立動機與基礎習慣</t>
        </is>
      </c>
    </row>
    <row r="12">
      <c r="A12" s="7" t="inlineStr">
        <is>
          <t>◆ 每季固定「3個月教學推進模式」</t>
        </is>
      </c>
    </row>
    <row r="13">
      <c r="A13" s="8" t="inlineStr">
        <is>
          <t>第 1 個月</t>
        </is>
      </c>
      <c r="B13" s="9" t="inlineStr">
        <is>
          <t>認識 ＋ 示範（實施季前測）</t>
        </is>
      </c>
      <c r="C13" s="9" t="inlineStr">
        <is>
          <t>實施「季前測」直接評量以確認真實起點，支持者示範標準步驟。</t>
        </is>
      </c>
      <c r="D13" s="9" t="n"/>
      <c r="E13" s="9" t="n"/>
      <c r="F13" s="9" t="n"/>
    </row>
    <row r="14">
      <c r="A14" s="8" t="inlineStr">
        <is>
          <t>第 2 個月</t>
        </is>
      </c>
      <c r="B14" s="9" t="inlineStr">
        <is>
          <t>實際操作（實施課堂/月檢核）</t>
        </is>
      </c>
      <c r="C14" s="9" t="inlineStr">
        <is>
          <t>日常情境重複練習，提供分級提示支持，記錄課堂平時操作分數。</t>
        </is>
      </c>
      <c r="D14" s="9" t="n"/>
      <c r="E14" s="9" t="n"/>
      <c r="F14" s="9" t="n"/>
    </row>
    <row r="15">
      <c r="A15" s="8" t="inlineStr">
        <is>
          <t>第 3 個月</t>
        </is>
      </c>
      <c r="B15" s="9" t="inlineStr">
        <is>
          <t>情境應用 ＋ 季後測（實施季後測）</t>
        </is>
      </c>
      <c r="C15" s="9" t="inlineStr">
        <is>
          <t>綜合情境演練，逐步褪除提示支持，實施「季後測」檢驗進步成效。</t>
        </is>
      </c>
      <c r="D15" s="9" t="n"/>
      <c r="E15" s="9" t="n"/>
      <c r="F15" s="9" t="n"/>
    </row>
    <row r="17">
      <c r="A17" s="7" t="inlineStr">
        <is>
          <t>◆ 核心成效指標計算公式</t>
        </is>
      </c>
    </row>
    <row r="18">
      <c r="A18" s="10" t="inlineStr">
        <is>
          <t>1. 進步分數</t>
        </is>
      </c>
      <c r="B18" s="9" t="inlineStr">
        <is>
          <t>＝ 季後測得分 － 季前測得分</t>
        </is>
      </c>
      <c r="C18" s="11" t="n"/>
      <c r="D18" s="11" t="n"/>
      <c r="E18" s="11" t="n"/>
      <c r="F18" s="11" t="n"/>
    </row>
    <row r="19">
      <c r="A19" s="10" t="inlineStr">
        <is>
          <t>2. 達成率 (%)</t>
        </is>
      </c>
      <c r="B19" s="9" t="inlineStr">
        <is>
          <t>＝ (實際得分 ÷ 滿分 50 分) × 100%</t>
        </is>
      </c>
      <c r="C19" s="11" t="n"/>
      <c r="D19" s="11" t="n"/>
      <c r="E19" s="11" t="n"/>
      <c r="F19" s="11" t="n"/>
    </row>
    <row r="20">
      <c r="A20" s="10" t="inlineStr">
        <is>
          <t>3. 進步率 (%)</t>
        </is>
      </c>
      <c r="B20" s="9" t="inlineStr">
        <is>
          <t>＝ (進步分數 ÷ 季前測得分) × 100%</t>
        </is>
      </c>
      <c r="C20" s="11" t="n"/>
      <c r="D20" s="11" t="n"/>
      <c r="E20" s="11" t="n"/>
      <c r="F20" s="11" t="n"/>
    </row>
    <row r="21">
      <c r="A21" s="10" t="inlineStr">
        <is>
          <t>4. 成長百分點</t>
        </is>
      </c>
      <c r="B21" s="9" t="inlineStr">
        <is>
          <t>＝ 季後測達成率 (%) － 季前測達成率 (%)</t>
        </is>
      </c>
      <c r="C21" s="11" t="n"/>
      <c r="D21" s="11" t="n"/>
      <c r="E21" s="11" t="n"/>
      <c r="F21" s="11" t="n"/>
    </row>
    <row r="22">
      <c r="A22" s="10" t="inlineStr">
        <is>
          <t>5. 指標平均分</t>
        </is>
      </c>
      <c r="B22" s="9" t="inlineStr">
        <is>
          <t>＝ 總得分 ÷ 10項檢核指標 (滿分5分)</t>
        </is>
      </c>
      <c r="C22" s="11" t="n"/>
      <c r="D22" s="11" t="n"/>
      <c r="E22" s="11" t="n"/>
      <c r="F22" s="11" t="n"/>
    </row>
  </sheetData>
  <mergeCells count="9">
    <mergeCell ref="C13:F13"/>
    <mergeCell ref="B21:F21"/>
    <mergeCell ref="B20:F20"/>
    <mergeCell ref="A1:F2"/>
    <mergeCell ref="B19:F19"/>
    <mergeCell ref="C15:F15"/>
    <mergeCell ref="B22:F22"/>
    <mergeCell ref="B18:F18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2" t="inlineStr">
        <is>
          <t>第一季 (1~3月)：健康衛生與日常照護 - 學員前測／課堂平時／後測評量打分表</t>
        </is>
      </c>
    </row>
    <row r="2"/>
    <row r="3">
      <c r="A3" s="13" t="inlineStr">
        <is>
          <t>【評分提示等級】5分:可獨立完成 ｜ 4分:口語提示 ｜ 3分:肢體協助 ｜ 2分:部分協助 ｜ 1分:大量協助 ｜ 0分:無法完成 (滿分50分)</t>
        </is>
      </c>
    </row>
    <row r="4">
      <c r="A4" s="14" t="inlineStr">
        <is>
          <t>學員姓名</t>
        </is>
      </c>
      <c r="B4" s="14" t="inlineStr">
        <is>
          <t>評量階段</t>
        </is>
      </c>
      <c r="C4" s="15" t="inlineStr">
        <is>
          <t>指標 1</t>
        </is>
      </c>
      <c r="D4" s="15" t="inlineStr">
        <is>
          <t>指標 2</t>
        </is>
      </c>
      <c r="E4" s="15" t="inlineStr">
        <is>
          <t>指標 3</t>
        </is>
      </c>
      <c r="F4" s="15" t="inlineStr">
        <is>
          <t>指標 4</t>
        </is>
      </c>
      <c r="G4" s="15" t="inlineStr">
        <is>
          <t>指標 5</t>
        </is>
      </c>
      <c r="H4" s="15" t="inlineStr">
        <is>
          <t>指標 6</t>
        </is>
      </c>
      <c r="I4" s="15" t="inlineStr">
        <is>
          <t>指標 7</t>
        </is>
      </c>
      <c r="J4" s="15" t="inlineStr">
        <is>
          <t>指標 8</t>
        </is>
      </c>
      <c r="K4" s="15" t="inlineStr">
        <is>
          <t>指標 9</t>
        </is>
      </c>
      <c r="L4" s="15" t="inlineStr">
        <is>
          <t>指標 10</t>
        </is>
      </c>
      <c r="M4" s="16" t="inlineStr">
        <is>
          <t>總得分</t>
        </is>
      </c>
      <c r="N4" s="16" t="inlineStr">
        <is>
          <t>平均分</t>
        </is>
      </c>
      <c r="O4" s="16" t="inlineStr">
        <is>
          <t>學習階段判定</t>
        </is>
      </c>
      <c r="P4" s="16" t="inlineStr">
        <is>
          <t>達成率</t>
        </is>
      </c>
      <c r="Q4" s="16" t="inlineStr">
        <is>
          <t>進步分數</t>
        </is>
      </c>
      <c r="R4" s="16" t="inlineStr">
        <is>
          <t>進步率</t>
        </is>
      </c>
      <c r="S4" s="16" t="inlineStr">
        <is>
          <t>成長百分點</t>
        </is>
      </c>
    </row>
    <row r="5">
      <c r="C5" s="17" t="inlineStr">
        <is>
          <t>(滿分5)</t>
        </is>
      </c>
      <c r="D5" s="17" t="inlineStr">
        <is>
          <t>(滿分5)</t>
        </is>
      </c>
      <c r="E5" s="17" t="inlineStr">
        <is>
          <t>(滿分5)</t>
        </is>
      </c>
      <c r="F5" s="17" t="inlineStr">
        <is>
          <t>(滿分5)</t>
        </is>
      </c>
      <c r="G5" s="17" t="inlineStr">
        <is>
          <t>(滿分5)</t>
        </is>
      </c>
      <c r="H5" s="17" t="inlineStr">
        <is>
          <t>(滿分5)</t>
        </is>
      </c>
      <c r="I5" s="17" t="inlineStr">
        <is>
          <t>(滿分5)</t>
        </is>
      </c>
      <c r="J5" s="17" t="inlineStr">
        <is>
          <t>(滿分5)</t>
        </is>
      </c>
      <c r="K5" s="17" t="inlineStr">
        <is>
          <t>(滿分5)</t>
        </is>
      </c>
      <c r="L5" s="17" t="inlineStr">
        <is>
          <t>(滿分5)</t>
        </is>
      </c>
      <c r="M5" s="18" t="inlineStr">
        <is>
          <t>(滿分50)</t>
        </is>
      </c>
      <c r="N5" s="18" t="inlineStr">
        <is>
          <t>(0~5分)</t>
        </is>
      </c>
      <c r="O5" s="18" t="inlineStr">
        <is>
          <t>(等級標記)</t>
        </is>
      </c>
      <c r="P5" s="18" t="inlineStr">
        <is>
          <t>(%)</t>
        </is>
      </c>
      <c r="Q5" s="18" t="inlineStr">
        <is>
          <t>(後-前)</t>
        </is>
      </c>
      <c r="R5" s="18" t="inlineStr">
        <is>
          <t>(%)</t>
        </is>
      </c>
      <c r="S5" s="18" t="inlineStr">
        <is>
          <t>(%pt)</t>
        </is>
      </c>
    </row>
    <row r="6">
      <c r="A6" s="19" t="inlineStr">
        <is>
          <t>宇彤</t>
        </is>
      </c>
      <c r="B6" s="20" t="inlineStr">
        <is>
          <t>1. 前測 (第1月)</t>
        </is>
      </c>
      <c r="C6" s="21" t="n">
        <v>3</v>
      </c>
      <c r="D6" s="21" t="n">
        <v>3</v>
      </c>
      <c r="E6" s="21" t="n">
        <v>2</v>
      </c>
      <c r="F6" s="21" t="n">
        <v>3</v>
      </c>
      <c r="G6" s="21" t="n">
        <v>2</v>
      </c>
      <c r="H6" s="21" t="n">
        <v>3</v>
      </c>
      <c r="I6" s="21" t="n">
        <v>3</v>
      </c>
      <c r="J6" s="21" t="n">
        <v>3</v>
      </c>
      <c r="K6" s="21" t="n">
        <v>3</v>
      </c>
      <c r="L6" s="21" t="n">
        <v>3</v>
      </c>
      <c r="M6" s="22">
        <f>SUM(C6:L6)</f>
        <v/>
      </c>
      <c r="N6" s="23">
        <f>AVERAGE(C6:L6)</f>
        <v/>
      </c>
      <c r="O6" s="24">
        <f>IF(N6&gt;=4.5,"🟢 獨立完成",IF(N6&gt;=3.5,"🔵 口語提示",IF(N6&gt;=2.0,"🟡 肢體/部分協助","🟠 大量協助")))</f>
        <v/>
      </c>
      <c r="P6" s="25">
        <f>M6/50</f>
        <v/>
      </c>
      <c r="Q6" s="26">
        <f>M8-M6</f>
        <v/>
      </c>
      <c r="R6" s="27">
        <f>IF(M6&gt;0, (M8-M6)/M6, (M8-M6)/50)</f>
        <v/>
      </c>
      <c r="S6" s="27">
        <f>P8-P6</f>
        <v/>
      </c>
    </row>
    <row r="7">
      <c r="A7" s="11" t="n"/>
      <c r="B7" s="28" t="inlineStr">
        <is>
          <t>2. 課堂 (第2月)</t>
        </is>
      </c>
      <c r="C7" s="21" t="n">
        <v>4</v>
      </c>
      <c r="D7" s="21" t="n">
        <v>4</v>
      </c>
      <c r="E7" s="21" t="n">
        <v>3</v>
      </c>
      <c r="F7" s="21" t="n">
        <v>4</v>
      </c>
      <c r="G7" s="21" t="n">
        <v>3</v>
      </c>
      <c r="H7" s="21" t="n">
        <v>4</v>
      </c>
      <c r="I7" s="21" t="n">
        <v>3</v>
      </c>
      <c r="J7" s="21" t="n">
        <v>4</v>
      </c>
      <c r="K7" s="21" t="n">
        <v>3</v>
      </c>
      <c r="L7" s="21" t="n">
        <v>4</v>
      </c>
      <c r="M7" s="22">
        <f>SUM(C7:L7)</f>
        <v/>
      </c>
      <c r="N7" s="23">
        <f>AVERAGE(C7:L7)</f>
        <v/>
      </c>
      <c r="O7" s="24">
        <f>IF(N7&gt;=4.5,"🟢 獨立完成",IF(N7&gt;=3.5,"🔵 口語提示",IF(N7&gt;=2.0,"🟡 肢體/部分協助","🟠 大量協助")))</f>
        <v/>
      </c>
      <c r="P7" s="25">
        <f>M7/50</f>
        <v/>
      </c>
      <c r="Q7" s="11" t="n"/>
      <c r="R7" s="11" t="n"/>
      <c r="S7" s="11" t="n"/>
    </row>
    <row r="8">
      <c r="A8" s="11" t="n"/>
      <c r="B8" s="29" t="inlineStr">
        <is>
          <t>3. 後測 (第3月)</t>
        </is>
      </c>
      <c r="C8" s="21" t="n">
        <v>4</v>
      </c>
      <c r="D8" s="21" t="n">
        <v>5</v>
      </c>
      <c r="E8" s="21" t="n">
        <v>4</v>
      </c>
      <c r="F8" s="21" t="n">
        <v>4</v>
      </c>
      <c r="G8" s="21" t="n">
        <v>4</v>
      </c>
      <c r="H8" s="21" t="n">
        <v>4</v>
      </c>
      <c r="I8" s="21" t="n">
        <v>4</v>
      </c>
      <c r="J8" s="21" t="n">
        <v>5</v>
      </c>
      <c r="K8" s="21" t="n">
        <v>4</v>
      </c>
      <c r="L8" s="21" t="n">
        <v>4</v>
      </c>
      <c r="M8" s="22">
        <f>SUM(C8:L8)</f>
        <v/>
      </c>
      <c r="N8" s="23">
        <f>AVERAGE(C8:L8)</f>
        <v/>
      </c>
      <c r="O8" s="24">
        <f>IF(N8&gt;=4.5,"🟢 獨立完成",IF(N8&gt;=3.5,"🔵 口語提示",IF(N8&gt;=2.0,"🟡 肢體/部分協助","🟠 大量協助")))</f>
        <v/>
      </c>
      <c r="P8" s="25">
        <f>M8/50</f>
        <v/>
      </c>
      <c r="Q8" s="11" t="n"/>
      <c r="R8" s="11" t="n"/>
      <c r="S8" s="11" t="n"/>
    </row>
    <row r="9">
      <c r="A9" s="19" t="inlineStr">
        <is>
          <t>育萱</t>
        </is>
      </c>
      <c r="B9" s="20" t="inlineStr">
        <is>
          <t>1. 前測 (第1月)</t>
        </is>
      </c>
      <c r="C9" s="21" t="n">
        <v>4</v>
      </c>
      <c r="D9" s="21" t="n">
        <v>3</v>
      </c>
      <c r="E9" s="21" t="n">
        <v>3</v>
      </c>
      <c r="F9" s="21" t="n">
        <v>4</v>
      </c>
      <c r="G9" s="21" t="n">
        <v>3</v>
      </c>
      <c r="H9" s="21" t="n">
        <v>4</v>
      </c>
      <c r="I9" s="21" t="n">
        <v>4</v>
      </c>
      <c r="J9" s="21" t="n">
        <v>3</v>
      </c>
      <c r="K9" s="21" t="n">
        <v>3</v>
      </c>
      <c r="L9" s="21" t="n">
        <v>4</v>
      </c>
      <c r="M9" s="22">
        <f>SUM(C9:L9)</f>
        <v/>
      </c>
      <c r="N9" s="23">
        <f>AVERAGE(C9:L9)</f>
        <v/>
      </c>
      <c r="O9" s="24">
        <f>IF(N9&gt;=4.5,"🟢 獨立完成",IF(N9&gt;=3.5,"🔵 口語提示",IF(N9&gt;=2.0,"🟡 肢體/部分協助","🟠 大量協助")))</f>
        <v/>
      </c>
      <c r="P9" s="25">
        <f>M9/50</f>
        <v/>
      </c>
      <c r="Q9" s="26">
        <f>M11-M9</f>
        <v/>
      </c>
      <c r="R9" s="27">
        <f>IF(M9&gt;0, (M11-M9)/M9, (M11-M9)/50)</f>
        <v/>
      </c>
      <c r="S9" s="27">
        <f>P11-P9</f>
        <v/>
      </c>
    </row>
    <row r="10">
      <c r="A10" s="11" t="n"/>
      <c r="B10" s="28" t="inlineStr">
        <is>
          <t>2. 課堂 (第2月)</t>
        </is>
      </c>
      <c r="C10" s="21" t="n">
        <v>4</v>
      </c>
      <c r="D10" s="21" t="n">
        <v>4</v>
      </c>
      <c r="E10" s="21" t="n">
        <v>4</v>
      </c>
      <c r="F10" s="21" t="n">
        <v>4</v>
      </c>
      <c r="G10" s="21" t="n">
        <v>4</v>
      </c>
      <c r="H10" s="21" t="n">
        <v>4</v>
      </c>
      <c r="I10" s="21" t="n">
        <v>4</v>
      </c>
      <c r="J10" s="21" t="n">
        <v>4</v>
      </c>
      <c r="K10" s="21" t="n">
        <v>4</v>
      </c>
      <c r="L10" s="21" t="n">
        <v>4</v>
      </c>
      <c r="M10" s="22">
        <f>SUM(C10:L10)</f>
        <v/>
      </c>
      <c r="N10" s="23">
        <f>AVERAGE(C10:L10)</f>
        <v/>
      </c>
      <c r="O10" s="24">
        <f>IF(N10&gt;=4.5,"🟢 獨立完成",IF(N10&gt;=3.5,"🔵 口語提示",IF(N10&gt;=2.0,"🟡 肢體/部分協助","🟠 大量協助")))</f>
        <v/>
      </c>
      <c r="P10" s="25">
        <f>M10/50</f>
        <v/>
      </c>
      <c r="Q10" s="11" t="n"/>
      <c r="R10" s="11" t="n"/>
      <c r="S10" s="11" t="n"/>
    </row>
    <row r="11">
      <c r="A11" s="11" t="n"/>
      <c r="B11" s="29" t="inlineStr">
        <is>
          <t>3. 後測 (第3月)</t>
        </is>
      </c>
      <c r="C11" s="21" t="n">
        <v>5</v>
      </c>
      <c r="D11" s="21" t="n">
        <v>5</v>
      </c>
      <c r="E11" s="21" t="n">
        <v>4</v>
      </c>
      <c r="F11" s="21" t="n">
        <v>5</v>
      </c>
      <c r="G11" s="21" t="n">
        <v>4</v>
      </c>
      <c r="H11" s="21" t="n">
        <v>5</v>
      </c>
      <c r="I11" s="21" t="n">
        <v>5</v>
      </c>
      <c r="J11" s="21" t="n">
        <v>4</v>
      </c>
      <c r="K11" s="21" t="n">
        <v>4</v>
      </c>
      <c r="L11" s="21" t="n">
        <v>5</v>
      </c>
      <c r="M11" s="22">
        <f>SUM(C11:L11)</f>
        <v/>
      </c>
      <c r="N11" s="23">
        <f>AVERAGE(C11:L11)</f>
        <v/>
      </c>
      <c r="O11" s="24">
        <f>IF(N11&gt;=4.5,"🟢 獨立完成",IF(N11&gt;=3.5,"🔵 口語提示",IF(N11&gt;=2.0,"🟡 肢體/部分協助","🟠 大量協助")))</f>
        <v/>
      </c>
      <c r="P11" s="25">
        <f>M11/50</f>
        <v/>
      </c>
      <c r="Q11" s="11" t="n"/>
      <c r="R11" s="11" t="n"/>
      <c r="S11" s="11" t="n"/>
    </row>
    <row r="12">
      <c r="A12" s="19" t="inlineStr">
        <is>
          <t>高齊</t>
        </is>
      </c>
      <c r="B12" s="20" t="inlineStr">
        <is>
          <t>1. 前測 (第1月)</t>
        </is>
      </c>
      <c r="C12" s="21" t="n">
        <v>3</v>
      </c>
      <c r="D12" s="21" t="n">
        <v>2</v>
      </c>
      <c r="E12" s="21" t="n">
        <v>2</v>
      </c>
      <c r="F12" s="21" t="n">
        <v>3</v>
      </c>
      <c r="G12" s="21" t="n">
        <v>2</v>
      </c>
      <c r="H12" s="21" t="n">
        <v>2</v>
      </c>
      <c r="I12" s="21" t="n">
        <v>3</v>
      </c>
      <c r="J12" s="21" t="n">
        <v>3</v>
      </c>
      <c r="K12" s="21" t="n">
        <v>2</v>
      </c>
      <c r="L12" s="21" t="n">
        <v>3</v>
      </c>
      <c r="M12" s="22">
        <f>SUM(C12:L12)</f>
        <v/>
      </c>
      <c r="N12" s="23">
        <f>AVERAGE(C12:L12)</f>
        <v/>
      </c>
      <c r="O12" s="24">
        <f>IF(N12&gt;=4.5,"🟢 獨立完成",IF(N12&gt;=3.5,"🔵 口語提示",IF(N12&gt;=2.0,"🟡 肢體/部分協助","🟠 大量協助")))</f>
        <v/>
      </c>
      <c r="P12" s="25">
        <f>M12/50</f>
        <v/>
      </c>
      <c r="Q12" s="26">
        <f>M14-M12</f>
        <v/>
      </c>
      <c r="R12" s="27">
        <f>IF(M12&gt;0, (M14-M12)/M12, (M14-M12)/50)</f>
        <v/>
      </c>
      <c r="S12" s="27">
        <f>P14-P12</f>
        <v/>
      </c>
    </row>
    <row r="13">
      <c r="A13" s="11" t="n"/>
      <c r="B13" s="28" t="inlineStr">
        <is>
          <t>2. 課堂 (第2月)</t>
        </is>
      </c>
      <c r="C13" s="21" t="n">
        <v>3</v>
      </c>
      <c r="D13" s="21" t="n">
        <v>3</v>
      </c>
      <c r="E13" s="21" t="n">
        <v>3</v>
      </c>
      <c r="F13" s="21" t="n">
        <v>3</v>
      </c>
      <c r="G13" s="21" t="n">
        <v>3</v>
      </c>
      <c r="H13" s="21" t="n">
        <v>4</v>
      </c>
      <c r="I13" s="21" t="n">
        <v>3</v>
      </c>
      <c r="J13" s="21" t="n">
        <v>3</v>
      </c>
      <c r="K13" s="21" t="n">
        <v>3</v>
      </c>
      <c r="L13" s="21" t="n">
        <v>4</v>
      </c>
      <c r="M13" s="22">
        <f>SUM(C13:L13)</f>
        <v/>
      </c>
      <c r="N13" s="23">
        <f>AVERAGE(C13:L13)</f>
        <v/>
      </c>
      <c r="O13" s="24">
        <f>IF(N13&gt;=4.5,"🟢 獨立完成",IF(N13&gt;=3.5,"🔵 口語提示",IF(N13&gt;=2.0,"🟡 肢體/部分協助","🟠 大量協助")))</f>
        <v/>
      </c>
      <c r="P13" s="25">
        <f>M13/50</f>
        <v/>
      </c>
      <c r="Q13" s="11" t="n"/>
      <c r="R13" s="11" t="n"/>
      <c r="S13" s="11" t="n"/>
    </row>
    <row r="14">
      <c r="A14" s="11" t="n"/>
      <c r="B14" s="29" t="inlineStr">
        <is>
          <t>3. 後測 (第3月)</t>
        </is>
      </c>
      <c r="C14" s="21" t="n">
        <v>4</v>
      </c>
      <c r="D14" s="21" t="n">
        <v>4</v>
      </c>
      <c r="E14" s="21" t="n">
        <v>4</v>
      </c>
      <c r="F14" s="21" t="n">
        <v>4</v>
      </c>
      <c r="G14" s="21" t="n">
        <v>4</v>
      </c>
      <c r="H14" s="21" t="n">
        <v>4</v>
      </c>
      <c r="I14" s="21" t="n">
        <v>4</v>
      </c>
      <c r="J14" s="21" t="n">
        <v>4</v>
      </c>
      <c r="K14" s="21" t="n">
        <v>4</v>
      </c>
      <c r="L14" s="21" t="n">
        <v>4</v>
      </c>
      <c r="M14" s="22">
        <f>SUM(C14:L14)</f>
        <v/>
      </c>
      <c r="N14" s="23">
        <f>AVERAGE(C14:L14)</f>
        <v/>
      </c>
      <c r="O14" s="24">
        <f>IF(N14&gt;=4.5,"🟢 獨立完成",IF(N14&gt;=3.5,"🔵 口語提示",IF(N14&gt;=2.0,"🟡 肢體/部分協助","🟠 大量協助")))</f>
        <v/>
      </c>
      <c r="P14" s="25">
        <f>M14/50</f>
        <v/>
      </c>
      <c r="Q14" s="11" t="n"/>
      <c r="R14" s="11" t="n"/>
      <c r="S14" s="11" t="n"/>
    </row>
    <row r="15">
      <c r="A15" s="19" t="inlineStr">
        <is>
          <t>芷嫻</t>
        </is>
      </c>
      <c r="B15" s="20" t="inlineStr">
        <is>
          <t>1. 前測 (第1月)</t>
        </is>
      </c>
      <c r="C15" s="21" t="n">
        <v>3</v>
      </c>
      <c r="D15" s="21" t="n">
        <v>3</v>
      </c>
      <c r="E15" s="21" t="n">
        <v>3</v>
      </c>
      <c r="F15" s="21" t="n">
        <v>3</v>
      </c>
      <c r="G15" s="21" t="n">
        <v>3</v>
      </c>
      <c r="H15" s="21" t="n">
        <v>3</v>
      </c>
      <c r="I15" s="21" t="n">
        <v>4</v>
      </c>
      <c r="J15" s="21" t="n">
        <v>3</v>
      </c>
      <c r="K15" s="21" t="n">
        <v>3</v>
      </c>
      <c r="L15" s="21" t="n">
        <v>4</v>
      </c>
      <c r="M15" s="22">
        <f>SUM(C15:L15)</f>
        <v/>
      </c>
      <c r="N15" s="23">
        <f>AVERAGE(C15:L15)</f>
        <v/>
      </c>
      <c r="O15" s="24">
        <f>IF(N15&gt;=4.5,"🟢 獨立完成",IF(N15&gt;=3.5,"🔵 口語提示",IF(N15&gt;=2.0,"🟡 肢體/部分協助","🟠 大量協助")))</f>
        <v/>
      </c>
      <c r="P15" s="25">
        <f>M15/50</f>
        <v/>
      </c>
      <c r="Q15" s="26">
        <f>M17-M15</f>
        <v/>
      </c>
      <c r="R15" s="27">
        <f>IF(M15&gt;0, (M17-M15)/M15, (M17-M15)/50)</f>
        <v/>
      </c>
      <c r="S15" s="27">
        <f>P17-P15</f>
        <v/>
      </c>
    </row>
    <row r="16">
      <c r="A16" s="11" t="n"/>
      <c r="B16" s="28" t="inlineStr">
        <is>
          <t>2. 課堂 (第2月)</t>
        </is>
      </c>
      <c r="C16" s="21" t="n">
        <v>4</v>
      </c>
      <c r="D16" s="21" t="n">
        <v>4</v>
      </c>
      <c r="E16" s="21" t="n">
        <v>4</v>
      </c>
      <c r="F16" s="21" t="n">
        <v>4</v>
      </c>
      <c r="G16" s="21" t="n">
        <v>4</v>
      </c>
      <c r="H16" s="21" t="n">
        <v>4</v>
      </c>
      <c r="I16" s="21" t="n">
        <v>4</v>
      </c>
      <c r="J16" s="21" t="n">
        <v>4</v>
      </c>
      <c r="K16" s="21" t="n">
        <v>4</v>
      </c>
      <c r="L16" s="21" t="n">
        <v>4</v>
      </c>
      <c r="M16" s="22">
        <f>SUM(C16:L16)</f>
        <v/>
      </c>
      <c r="N16" s="23">
        <f>AVERAGE(C16:L16)</f>
        <v/>
      </c>
      <c r="O16" s="24">
        <f>IF(N16&gt;=4.5,"🟢 獨立完成",IF(N16&gt;=3.5,"🔵 口語提示",IF(N16&gt;=2.0,"🟡 肢體/部分協助","🟠 大量協助")))</f>
        <v/>
      </c>
      <c r="P16" s="25">
        <f>M16/50</f>
        <v/>
      </c>
      <c r="Q16" s="11" t="n"/>
      <c r="R16" s="11" t="n"/>
      <c r="S16" s="11" t="n"/>
    </row>
    <row r="17">
      <c r="A17" s="11" t="n"/>
      <c r="B17" s="29" t="inlineStr">
        <is>
          <t>3. 後測 (第3月)</t>
        </is>
      </c>
      <c r="C17" s="21" t="n">
        <v>5</v>
      </c>
      <c r="D17" s="21" t="n">
        <v>4</v>
      </c>
      <c r="E17" s="21" t="n">
        <v>4</v>
      </c>
      <c r="F17" s="21" t="n">
        <v>4</v>
      </c>
      <c r="G17" s="21" t="n">
        <v>5</v>
      </c>
      <c r="H17" s="21" t="n">
        <v>4</v>
      </c>
      <c r="I17" s="21" t="n">
        <v>4</v>
      </c>
      <c r="J17" s="21" t="n">
        <v>4</v>
      </c>
      <c r="K17" s="21" t="n">
        <v>5</v>
      </c>
      <c r="L17" s="21" t="n">
        <v>5</v>
      </c>
      <c r="M17" s="22">
        <f>SUM(C17:L17)</f>
        <v/>
      </c>
      <c r="N17" s="23">
        <f>AVERAGE(C17:L17)</f>
        <v/>
      </c>
      <c r="O17" s="24">
        <f>IF(N17&gt;=4.5,"🟢 獨立完成",IF(N17&gt;=3.5,"🔵 口語提示",IF(N17&gt;=2.0,"🟡 肢體/部分協助","🟠 大量協助")))</f>
        <v/>
      </c>
      <c r="P17" s="25">
        <f>M17/50</f>
        <v/>
      </c>
      <c r="Q17" s="11" t="n"/>
      <c r="R17" s="11" t="n"/>
      <c r="S17" s="11" t="n"/>
    </row>
    <row r="18">
      <c r="A18" s="19" t="inlineStr">
        <is>
          <t>志豪</t>
        </is>
      </c>
      <c r="B18" s="20" t="inlineStr">
        <is>
          <t>1. 前測 (第1月)</t>
        </is>
      </c>
      <c r="C18" s="21" t="n">
        <v>2</v>
      </c>
      <c r="D18" s="21" t="n">
        <v>2</v>
      </c>
      <c r="E18" s="21" t="n">
        <v>2</v>
      </c>
      <c r="F18" s="21" t="n">
        <v>2</v>
      </c>
      <c r="G18" s="21" t="n">
        <v>2</v>
      </c>
      <c r="H18" s="21" t="n">
        <v>2</v>
      </c>
      <c r="I18" s="21" t="n">
        <v>2</v>
      </c>
      <c r="J18" s="21" t="n">
        <v>2</v>
      </c>
      <c r="K18" s="21" t="n">
        <v>2</v>
      </c>
      <c r="L18" s="21" t="n">
        <v>2</v>
      </c>
      <c r="M18" s="22">
        <f>SUM(C18:L18)</f>
        <v/>
      </c>
      <c r="N18" s="23">
        <f>AVERAGE(C18:L18)</f>
        <v/>
      </c>
      <c r="O18" s="24">
        <f>IF(N18&gt;=4.5,"🟢 獨立完成",IF(N18&gt;=3.5,"🔵 口語提示",IF(N18&gt;=2.0,"🟡 肢體/部分協助","🟠 大量協助")))</f>
        <v/>
      </c>
      <c r="P18" s="25">
        <f>M18/50</f>
        <v/>
      </c>
      <c r="Q18" s="26">
        <f>M20-M18</f>
        <v/>
      </c>
      <c r="R18" s="27">
        <f>IF(M18&gt;0, (M20-M18)/M18, (M20-M18)/50)</f>
        <v/>
      </c>
      <c r="S18" s="27">
        <f>P20-P18</f>
        <v/>
      </c>
    </row>
    <row r="19">
      <c r="A19" s="11" t="n"/>
      <c r="B19" s="28" t="inlineStr">
        <is>
          <t>2. 課堂 (第2月)</t>
        </is>
      </c>
      <c r="C19" s="21" t="n">
        <v>3</v>
      </c>
      <c r="D19" s="21" t="n">
        <v>3</v>
      </c>
      <c r="E19" s="21" t="n">
        <v>3</v>
      </c>
      <c r="F19" s="21" t="n">
        <v>3</v>
      </c>
      <c r="G19" s="21" t="n">
        <v>3</v>
      </c>
      <c r="H19" s="21" t="n">
        <v>3</v>
      </c>
      <c r="I19" s="21" t="n">
        <v>3</v>
      </c>
      <c r="J19" s="21" t="n">
        <v>3</v>
      </c>
      <c r="K19" s="21" t="n">
        <v>3</v>
      </c>
      <c r="L19" s="21" t="n">
        <v>3</v>
      </c>
      <c r="M19" s="22">
        <f>SUM(C19:L19)</f>
        <v/>
      </c>
      <c r="N19" s="23">
        <f>AVERAGE(C19:L19)</f>
        <v/>
      </c>
      <c r="O19" s="24">
        <f>IF(N19&gt;=4.5,"🟢 獨立完成",IF(N19&gt;=3.5,"🔵 口語提示",IF(N19&gt;=2.0,"🟡 肢體/部分協助","🟠 大量協助")))</f>
        <v/>
      </c>
      <c r="P19" s="25">
        <f>M19/50</f>
        <v/>
      </c>
      <c r="Q19" s="11" t="n"/>
      <c r="R19" s="11" t="n"/>
      <c r="S19" s="11" t="n"/>
    </row>
    <row r="20">
      <c r="A20" s="11" t="n"/>
      <c r="B20" s="29" t="inlineStr">
        <is>
          <t>3. 後測 (第3月)</t>
        </is>
      </c>
      <c r="C20" s="21" t="n">
        <v>4</v>
      </c>
      <c r="D20" s="21" t="n">
        <v>3</v>
      </c>
      <c r="E20" s="21" t="n">
        <v>3</v>
      </c>
      <c r="F20" s="21" t="n">
        <v>4</v>
      </c>
      <c r="G20" s="21" t="n">
        <v>3</v>
      </c>
      <c r="H20" s="21" t="n">
        <v>4</v>
      </c>
      <c r="I20" s="21" t="n">
        <v>3</v>
      </c>
      <c r="J20" s="21" t="n">
        <v>4</v>
      </c>
      <c r="K20" s="21" t="n">
        <v>3</v>
      </c>
      <c r="L20" s="21" t="n">
        <v>4</v>
      </c>
      <c r="M20" s="22">
        <f>SUM(C20:L20)</f>
        <v/>
      </c>
      <c r="N20" s="23">
        <f>AVERAGE(C20:L20)</f>
        <v/>
      </c>
      <c r="O20" s="24">
        <f>IF(N20&gt;=4.5,"🟢 獨立完成",IF(N20&gt;=3.5,"🔵 口語提示",IF(N20&gt;=2.0,"🟡 肢體/部分協助","🟠 大量協助")))</f>
        <v/>
      </c>
      <c r="P20" s="25">
        <f>M20/50</f>
        <v/>
      </c>
      <c r="Q20" s="11" t="n"/>
      <c r="R20" s="11" t="n"/>
      <c r="S20" s="11" t="n"/>
    </row>
    <row r="21">
      <c r="A21" s="19" t="inlineStr">
        <is>
          <t>雅婷</t>
        </is>
      </c>
      <c r="B21" s="20" t="inlineStr">
        <is>
          <t>1. 前測 (第1月)</t>
        </is>
      </c>
      <c r="C21" s="21" t="n">
        <v>4</v>
      </c>
      <c r="D21" s="21" t="n">
        <v>4</v>
      </c>
      <c r="E21" s="21" t="n">
        <v>3</v>
      </c>
      <c r="F21" s="21" t="n">
        <v>3</v>
      </c>
      <c r="G21" s="21" t="n">
        <v>4</v>
      </c>
      <c r="H21" s="21" t="n">
        <v>3</v>
      </c>
      <c r="I21" s="21" t="n">
        <v>4</v>
      </c>
      <c r="J21" s="21" t="n">
        <v>3</v>
      </c>
      <c r="K21" s="21" t="n">
        <v>4</v>
      </c>
      <c r="L21" s="21" t="n">
        <v>4</v>
      </c>
      <c r="M21" s="22">
        <f>SUM(C21:L21)</f>
        <v/>
      </c>
      <c r="N21" s="23">
        <f>AVERAGE(C21:L21)</f>
        <v/>
      </c>
      <c r="O21" s="24">
        <f>IF(N21&gt;=4.5,"🟢 獨立完成",IF(N21&gt;=3.5,"🔵 口語提示",IF(N21&gt;=2.0,"🟡 肢體/部分協助","🟠 大量協助")))</f>
        <v/>
      </c>
      <c r="P21" s="25">
        <f>M21/50</f>
        <v/>
      </c>
      <c r="Q21" s="26">
        <f>M23-M21</f>
        <v/>
      </c>
      <c r="R21" s="27">
        <f>IF(M21&gt;0, (M23-M21)/M21, (M23-M21)/50)</f>
        <v/>
      </c>
      <c r="S21" s="27">
        <f>P23-P21</f>
        <v/>
      </c>
    </row>
    <row r="22">
      <c r="A22" s="11" t="n"/>
      <c r="B22" s="28" t="inlineStr">
        <is>
          <t>2. 課堂 (第2月)</t>
        </is>
      </c>
      <c r="C22" s="21" t="n">
        <v>4</v>
      </c>
      <c r="D22" s="21" t="n">
        <v>4</v>
      </c>
      <c r="E22" s="21" t="n">
        <v>4</v>
      </c>
      <c r="F22" s="21" t="n">
        <v>4</v>
      </c>
      <c r="G22" s="21" t="n">
        <v>4</v>
      </c>
      <c r="H22" s="21" t="n">
        <v>4</v>
      </c>
      <c r="I22" s="21" t="n">
        <v>4</v>
      </c>
      <c r="J22" s="21" t="n">
        <v>4</v>
      </c>
      <c r="K22" s="21" t="n">
        <v>4</v>
      </c>
      <c r="L22" s="21" t="n">
        <v>4</v>
      </c>
      <c r="M22" s="22">
        <f>SUM(C22:L22)</f>
        <v/>
      </c>
      <c r="N22" s="23">
        <f>AVERAGE(C22:L22)</f>
        <v/>
      </c>
      <c r="O22" s="24">
        <f>IF(N22&gt;=4.5,"🟢 獨立完成",IF(N22&gt;=3.5,"🔵 口語提示",IF(N22&gt;=2.0,"🟡 肢體/部分協助","🟠 大量協助")))</f>
        <v/>
      </c>
      <c r="P22" s="25">
        <f>M22/50</f>
        <v/>
      </c>
      <c r="Q22" s="11" t="n"/>
      <c r="R22" s="11" t="n"/>
      <c r="S22" s="11" t="n"/>
    </row>
    <row r="23">
      <c r="A23" s="11" t="n"/>
      <c r="B23" s="29" t="inlineStr">
        <is>
          <t>3. 後測 (第3月)</t>
        </is>
      </c>
      <c r="C23" s="21" t="n">
        <v>5</v>
      </c>
      <c r="D23" s="21" t="n">
        <v>5</v>
      </c>
      <c r="E23" s="21" t="n">
        <v>4</v>
      </c>
      <c r="F23" s="21" t="n">
        <v>4</v>
      </c>
      <c r="G23" s="21" t="n">
        <v>5</v>
      </c>
      <c r="H23" s="21" t="n">
        <v>4</v>
      </c>
      <c r="I23" s="21" t="n">
        <v>5</v>
      </c>
      <c r="J23" s="21" t="n">
        <v>4</v>
      </c>
      <c r="K23" s="21" t="n">
        <v>5</v>
      </c>
      <c r="L23" s="21" t="n">
        <v>5</v>
      </c>
      <c r="M23" s="22">
        <f>SUM(C23:L23)</f>
        <v/>
      </c>
      <c r="N23" s="23">
        <f>AVERAGE(C23:L23)</f>
        <v/>
      </c>
      <c r="O23" s="24">
        <f>IF(N23&gt;=4.5,"🟢 獨立完成",IF(N23&gt;=3.5,"🔵 口語提示",IF(N23&gt;=2.0,"🟡 肢體/部分協助","🟠 大量協助")))</f>
        <v/>
      </c>
      <c r="P23" s="25">
        <f>M23/50</f>
        <v/>
      </c>
      <c r="Q23" s="11" t="n"/>
      <c r="R23" s="11" t="n"/>
      <c r="S23" s="11" t="n"/>
    </row>
    <row r="24">
      <c r="A24" s="30" t="inlineStr">
        <is>
          <t>全班平均常模</t>
        </is>
      </c>
      <c r="C24" s="31">
        <f>AVERAGE(C6:C23)</f>
        <v/>
      </c>
      <c r="D24" s="31">
        <f>AVERAGE(D6:D23)</f>
        <v/>
      </c>
      <c r="E24" s="31">
        <f>AVERAGE(E6:E23)</f>
        <v/>
      </c>
      <c r="F24" s="31">
        <f>AVERAGE(F6:F23)</f>
        <v/>
      </c>
      <c r="G24" s="31">
        <f>AVERAGE(G6:G23)</f>
        <v/>
      </c>
      <c r="H24" s="31">
        <f>AVERAGE(H6:H23)</f>
        <v/>
      </c>
      <c r="I24" s="31">
        <f>AVERAGE(I6:I23)</f>
        <v/>
      </c>
      <c r="J24" s="31">
        <f>AVERAGE(J6:J23)</f>
        <v/>
      </c>
      <c r="K24" s="31">
        <f>AVERAGE(K6:K23)</f>
        <v/>
      </c>
      <c r="L24" s="31">
        <f>AVERAGE(L6:L23)</f>
        <v/>
      </c>
      <c r="M24" s="31">
        <f>AVERAGE(M6:M23)</f>
        <v/>
      </c>
      <c r="N24" s="31">
        <f>AVERAGE(N6:N23)</f>
        <v/>
      </c>
      <c r="O24" s="32" t="inlineStr">
        <is>
          <t>-</t>
        </is>
      </c>
      <c r="P24" s="33">
        <f>AVERAGE(P6:P23)</f>
        <v/>
      </c>
      <c r="Q24" s="34">
        <f>AVERAGE(Q6:Q23)</f>
        <v/>
      </c>
      <c r="R24" s="35">
        <f>AVERAGE(R6:R23)</f>
        <v/>
      </c>
      <c r="S24" s="35">
        <f>AVERAGE(S6:S23)</f>
        <v/>
      </c>
    </row>
    <row r="27">
      <c r="A27" s="36" t="inlineStr">
        <is>
          <t>【Q1 檢核指標項目清單參照】</t>
        </is>
      </c>
    </row>
    <row r="28">
      <c r="A28" s="37" t="inlineStr">
        <is>
          <t>指標 1</t>
        </is>
      </c>
      <c r="B28" s="38" t="inlineStr">
        <is>
          <t>1. 能說出需要洗手的時機（如飯前、便後、擤鼻涕後等）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</row>
    <row r="29">
      <c r="A29" s="37" t="inlineStr">
        <is>
          <t>指標 2</t>
        </is>
      </c>
      <c r="B29" s="38" t="inlineStr">
        <is>
          <t>2. 能正確執行內外夾弓大立腕洗手步驟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</row>
    <row r="30">
      <c r="A30" s="37" t="inlineStr">
        <is>
          <t>指標 3</t>
        </is>
      </c>
      <c r="B30" s="38" t="inlineStr">
        <is>
          <t>3. 能將雙手搓洗至乾淨並以流動水沖洗乾淨</t>
        </is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</row>
    <row r="31">
      <c r="A31" s="37" t="inlineStr">
        <is>
          <t>指標 4</t>
        </is>
      </c>
      <c r="B31" s="38" t="inlineStr">
        <is>
          <t>4. 能正確拿取牙刷及牙膏並擠出適當量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</row>
    <row r="32">
      <c r="A32" s="37" t="inlineStr">
        <is>
          <t>指標 5</t>
        </is>
      </c>
      <c r="B32" s="38" t="inlineStr">
        <is>
          <t>5. 能維持適當角度（貝氏刷牙法）刷牙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</row>
    <row r="33">
      <c r="A33" s="37" t="inlineStr">
        <is>
          <t>指標 6</t>
        </is>
      </c>
      <c r="B33" s="38" t="inlineStr">
        <is>
          <t>6. 能依序清潔牙齒各區域（內側、外側、咬合面）</t>
        </is>
      </c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</row>
    <row r="34">
      <c r="A34" s="37" t="inlineStr">
        <is>
          <t>指標 7</t>
        </is>
      </c>
      <c r="B34" s="38" t="inlineStr">
        <is>
          <t>7. 能用流動水清潔傷口及周圍髒污</t>
        </is>
      </c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</row>
    <row r="35">
      <c r="A35" s="37" t="inlineStr">
        <is>
          <t>指標 8</t>
        </is>
      </c>
      <c r="B35" s="38" t="inlineStr">
        <is>
          <t>8. 能正確撕開並使用OK繃／透氣膠帶包紮傷口</t>
        </is>
      </c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</row>
    <row r="36">
      <c r="A36" s="37" t="inlineStr">
        <is>
          <t>指標 9</t>
        </is>
      </c>
      <c r="B36" s="38" t="inlineStr">
        <is>
          <t>9. 止鼻血時能保持頭部微前傾並正確加壓止血</t>
        </is>
      </c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</row>
    <row r="37">
      <c r="A37" s="37" t="inlineStr">
        <is>
          <t>指標 10</t>
        </is>
      </c>
      <c r="B37" s="38" t="inlineStr">
        <is>
          <t>10. 止血或傷口護理時，能知道何時需尋求支持者協助</t>
        </is>
      </c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</row>
  </sheetData>
  <mergeCells count="39">
    <mergeCell ref="B35:L35"/>
    <mergeCell ref="Q9:Q11"/>
    <mergeCell ref="A21:A23"/>
    <mergeCell ref="A24:B24"/>
    <mergeCell ref="S9:S11"/>
    <mergeCell ref="A12:A14"/>
    <mergeCell ref="Q6:Q8"/>
    <mergeCell ref="A1:V2"/>
    <mergeCell ref="Q15:Q17"/>
    <mergeCell ref="S15:S17"/>
    <mergeCell ref="B31:L31"/>
    <mergeCell ref="R18:R20"/>
    <mergeCell ref="R9:R11"/>
    <mergeCell ref="A15:A17"/>
    <mergeCell ref="A9:A11"/>
    <mergeCell ref="Q18:Q20"/>
    <mergeCell ref="S18:S20"/>
    <mergeCell ref="Q12:Q14"/>
    <mergeCell ref="A4:A5"/>
    <mergeCell ref="S12:S14"/>
    <mergeCell ref="Q21:Q23"/>
    <mergeCell ref="B29:L29"/>
    <mergeCell ref="S21:S23"/>
    <mergeCell ref="B34:L34"/>
    <mergeCell ref="B37:L37"/>
    <mergeCell ref="B28:L28"/>
    <mergeCell ref="A18:A20"/>
    <mergeCell ref="A6:A8"/>
    <mergeCell ref="R6:R8"/>
    <mergeCell ref="B36:L36"/>
    <mergeCell ref="B4:B5"/>
    <mergeCell ref="B30:L30"/>
    <mergeCell ref="R12:R14"/>
    <mergeCell ref="B33:L33"/>
    <mergeCell ref="R15:R17"/>
    <mergeCell ref="R21:R23"/>
    <mergeCell ref="A3:V3"/>
    <mergeCell ref="B32:L32"/>
    <mergeCell ref="S6:S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2" t="inlineStr">
        <is>
          <t>第二季 (4~6月)：健康飲食與身體監測 - 學員前測／課堂平時／後測評量打分表</t>
        </is>
      </c>
    </row>
    <row r="2"/>
    <row r="3">
      <c r="A3" s="13" t="inlineStr">
        <is>
          <t>【評分提示等級】5分:可獨立完成 ｜ 4分:口語提示 ｜ 3分:肢體協助 ｜ 2分:部分協助 ｜ 1分:大量協助 ｜ 0分:無法完成 (滿分50分)</t>
        </is>
      </c>
    </row>
    <row r="4">
      <c r="A4" s="14" t="inlineStr">
        <is>
          <t>學員姓名</t>
        </is>
      </c>
      <c r="B4" s="14" t="inlineStr">
        <is>
          <t>評量階段</t>
        </is>
      </c>
      <c r="C4" s="15" t="inlineStr">
        <is>
          <t>指標 1</t>
        </is>
      </c>
      <c r="D4" s="15" t="inlineStr">
        <is>
          <t>指標 2</t>
        </is>
      </c>
      <c r="E4" s="15" t="inlineStr">
        <is>
          <t>指標 3</t>
        </is>
      </c>
      <c r="F4" s="15" t="inlineStr">
        <is>
          <t>指標 4</t>
        </is>
      </c>
      <c r="G4" s="15" t="inlineStr">
        <is>
          <t>指標 5</t>
        </is>
      </c>
      <c r="H4" s="15" t="inlineStr">
        <is>
          <t>指標 6</t>
        </is>
      </c>
      <c r="I4" s="15" t="inlineStr">
        <is>
          <t>指標 7</t>
        </is>
      </c>
      <c r="J4" s="15" t="inlineStr">
        <is>
          <t>指標 8</t>
        </is>
      </c>
      <c r="K4" s="15" t="inlineStr">
        <is>
          <t>指標 9</t>
        </is>
      </c>
      <c r="L4" s="15" t="inlineStr">
        <is>
          <t>指標 10</t>
        </is>
      </c>
      <c r="M4" s="16" t="inlineStr">
        <is>
          <t>總得分</t>
        </is>
      </c>
      <c r="N4" s="16" t="inlineStr">
        <is>
          <t>平均分</t>
        </is>
      </c>
      <c r="O4" s="16" t="inlineStr">
        <is>
          <t>學習階段判定</t>
        </is>
      </c>
      <c r="P4" s="16" t="inlineStr">
        <is>
          <t>達成率</t>
        </is>
      </c>
      <c r="Q4" s="16" t="inlineStr">
        <is>
          <t>進步分數</t>
        </is>
      </c>
      <c r="R4" s="16" t="inlineStr">
        <is>
          <t>進步率</t>
        </is>
      </c>
      <c r="S4" s="16" t="inlineStr">
        <is>
          <t>成長百分點</t>
        </is>
      </c>
    </row>
    <row r="5">
      <c r="C5" s="17" t="inlineStr">
        <is>
          <t>(滿分5)</t>
        </is>
      </c>
      <c r="D5" s="17" t="inlineStr">
        <is>
          <t>(滿分5)</t>
        </is>
      </c>
      <c r="E5" s="17" t="inlineStr">
        <is>
          <t>(滿分5)</t>
        </is>
      </c>
      <c r="F5" s="17" t="inlineStr">
        <is>
          <t>(滿分5)</t>
        </is>
      </c>
      <c r="G5" s="17" t="inlineStr">
        <is>
          <t>(滿分5)</t>
        </is>
      </c>
      <c r="H5" s="17" t="inlineStr">
        <is>
          <t>(滿分5)</t>
        </is>
      </c>
      <c r="I5" s="17" t="inlineStr">
        <is>
          <t>(滿分5)</t>
        </is>
      </c>
      <c r="J5" s="17" t="inlineStr">
        <is>
          <t>(滿分5)</t>
        </is>
      </c>
      <c r="K5" s="17" t="inlineStr">
        <is>
          <t>(滿分5)</t>
        </is>
      </c>
      <c r="L5" s="17" t="inlineStr">
        <is>
          <t>(滿分5)</t>
        </is>
      </c>
      <c r="M5" s="18" t="inlineStr">
        <is>
          <t>(滿分50)</t>
        </is>
      </c>
      <c r="N5" s="18" t="inlineStr">
        <is>
          <t>(0~5分)</t>
        </is>
      </c>
      <c r="O5" s="18" t="inlineStr">
        <is>
          <t>(等級標記)</t>
        </is>
      </c>
      <c r="P5" s="18" t="inlineStr">
        <is>
          <t>(%)</t>
        </is>
      </c>
      <c r="Q5" s="18" t="inlineStr">
        <is>
          <t>(後-前)</t>
        </is>
      </c>
      <c r="R5" s="18" t="inlineStr">
        <is>
          <t>(%)</t>
        </is>
      </c>
      <c r="S5" s="18" t="inlineStr">
        <is>
          <t>(%pt)</t>
        </is>
      </c>
    </row>
    <row r="6">
      <c r="A6" s="19" t="inlineStr">
        <is>
          <t>宇彤</t>
        </is>
      </c>
      <c r="B6" s="20" t="inlineStr">
        <is>
          <t>1. 前測 (第1月)</t>
        </is>
      </c>
      <c r="C6" s="21" t="n">
        <v>2</v>
      </c>
      <c r="D6" s="21" t="n">
        <v>3</v>
      </c>
      <c r="E6" s="21" t="n">
        <v>4</v>
      </c>
      <c r="F6" s="21" t="n">
        <v>2</v>
      </c>
      <c r="G6" s="21" t="n">
        <v>3</v>
      </c>
      <c r="H6" s="21" t="n">
        <v>4</v>
      </c>
      <c r="I6" s="21" t="n">
        <v>2</v>
      </c>
      <c r="J6" s="21" t="n">
        <v>3</v>
      </c>
      <c r="K6" s="21" t="n">
        <v>4</v>
      </c>
      <c r="L6" s="21" t="n">
        <v>2</v>
      </c>
      <c r="M6" s="22">
        <f>SUM(C6:L6)</f>
        <v/>
      </c>
      <c r="N6" s="23">
        <f>AVERAGE(C6:L6)</f>
        <v/>
      </c>
      <c r="O6" s="24">
        <f>IF(N6&gt;=4.5,"🟢 獨立完成",IF(N6&gt;=3.5,"🔵 口語提示",IF(N6&gt;=2.0,"🟡 肢體/部分協助","🟠 大量協助")))</f>
        <v/>
      </c>
      <c r="P6" s="25">
        <f>M6/50</f>
        <v/>
      </c>
      <c r="Q6" s="26">
        <f>M8-M6</f>
        <v/>
      </c>
      <c r="R6" s="27">
        <f>IF(M6&gt;0, (M8-M6)/M6, (M8-M6)/50)</f>
        <v/>
      </c>
      <c r="S6" s="27">
        <f>P8-P6</f>
        <v/>
      </c>
    </row>
    <row r="7">
      <c r="A7" s="11" t="n"/>
      <c r="B7" s="28" t="inlineStr">
        <is>
          <t>2. 課堂 (第2月)</t>
        </is>
      </c>
      <c r="C7" s="21" t="n">
        <v>3</v>
      </c>
      <c r="D7" s="21" t="n">
        <v>4</v>
      </c>
      <c r="E7" s="21" t="n">
        <v>3</v>
      </c>
      <c r="F7" s="21" t="n">
        <v>4</v>
      </c>
      <c r="G7" s="21" t="n">
        <v>3</v>
      </c>
      <c r="H7" s="21" t="n">
        <v>4</v>
      </c>
      <c r="I7" s="21" t="n">
        <v>3</v>
      </c>
      <c r="J7" s="21" t="n">
        <v>4</v>
      </c>
      <c r="K7" s="21" t="n">
        <v>3</v>
      </c>
      <c r="L7" s="21" t="n">
        <v>4</v>
      </c>
      <c r="M7" s="22">
        <f>SUM(C7:L7)</f>
        <v/>
      </c>
      <c r="N7" s="23">
        <f>AVERAGE(C7:L7)</f>
        <v/>
      </c>
      <c r="O7" s="24">
        <f>IF(N7&gt;=4.5,"🟢 獨立完成",IF(N7&gt;=3.5,"🔵 口語提示",IF(N7&gt;=2.0,"🟡 肢體/部分協助","🟠 大量協助")))</f>
        <v/>
      </c>
      <c r="P7" s="25">
        <f>M7/50</f>
        <v/>
      </c>
      <c r="Q7" s="11" t="n"/>
      <c r="R7" s="11" t="n"/>
      <c r="S7" s="11" t="n"/>
    </row>
    <row r="8">
      <c r="A8" s="11" t="n"/>
      <c r="B8" s="29" t="inlineStr">
        <is>
          <t>3. 後測 (第3月)</t>
        </is>
      </c>
      <c r="C8" s="21" t="n">
        <v>4</v>
      </c>
      <c r="D8" s="21" t="n">
        <v>5</v>
      </c>
      <c r="E8" s="21" t="n">
        <v>4</v>
      </c>
      <c r="F8" s="21" t="n">
        <v>5</v>
      </c>
      <c r="G8" s="21" t="n">
        <v>4</v>
      </c>
      <c r="H8" s="21" t="n">
        <v>5</v>
      </c>
      <c r="I8" s="21" t="n">
        <v>4</v>
      </c>
      <c r="J8" s="21" t="n">
        <v>5</v>
      </c>
      <c r="K8" s="21" t="n">
        <v>4</v>
      </c>
      <c r="L8" s="21" t="n">
        <v>5</v>
      </c>
      <c r="M8" s="22">
        <f>SUM(C8:L8)</f>
        <v/>
      </c>
      <c r="N8" s="23">
        <f>AVERAGE(C8:L8)</f>
        <v/>
      </c>
      <c r="O8" s="24">
        <f>IF(N8&gt;=4.5,"🟢 獨立完成",IF(N8&gt;=3.5,"🔵 口語提示",IF(N8&gt;=2.0,"🟡 肢體/部分協助","🟠 大量協助")))</f>
        <v/>
      </c>
      <c r="P8" s="25">
        <f>M8/50</f>
        <v/>
      </c>
      <c r="Q8" s="11" t="n"/>
      <c r="R8" s="11" t="n"/>
      <c r="S8" s="11" t="n"/>
    </row>
    <row r="9">
      <c r="A9" s="19" t="inlineStr">
        <is>
          <t>育萱</t>
        </is>
      </c>
      <c r="B9" s="20" t="inlineStr">
        <is>
          <t>1. 前測 (第1月)</t>
        </is>
      </c>
      <c r="C9" s="21" t="n">
        <v>2</v>
      </c>
      <c r="D9" s="21" t="n">
        <v>3</v>
      </c>
      <c r="E9" s="21" t="n">
        <v>4</v>
      </c>
      <c r="F9" s="21" t="n">
        <v>2</v>
      </c>
      <c r="G9" s="21" t="n">
        <v>3</v>
      </c>
      <c r="H9" s="21" t="n">
        <v>4</v>
      </c>
      <c r="I9" s="21" t="n">
        <v>2</v>
      </c>
      <c r="J9" s="21" t="n">
        <v>3</v>
      </c>
      <c r="K9" s="21" t="n">
        <v>4</v>
      </c>
      <c r="L9" s="21" t="n">
        <v>2</v>
      </c>
      <c r="M9" s="22">
        <f>SUM(C9:L9)</f>
        <v/>
      </c>
      <c r="N9" s="23">
        <f>AVERAGE(C9:L9)</f>
        <v/>
      </c>
      <c r="O9" s="24">
        <f>IF(N9&gt;=4.5,"🟢 獨立完成",IF(N9&gt;=3.5,"🔵 口語提示",IF(N9&gt;=2.0,"🟡 肢體/部分協助","🟠 大量協助")))</f>
        <v/>
      </c>
      <c r="P9" s="25">
        <f>M9/50</f>
        <v/>
      </c>
      <c r="Q9" s="26">
        <f>M11-M9</f>
        <v/>
      </c>
      <c r="R9" s="27">
        <f>IF(M9&gt;0, (M11-M9)/M9, (M11-M9)/50)</f>
        <v/>
      </c>
      <c r="S9" s="27">
        <f>P11-P9</f>
        <v/>
      </c>
    </row>
    <row r="10">
      <c r="A10" s="11" t="n"/>
      <c r="B10" s="28" t="inlineStr">
        <is>
          <t>2. 課堂 (第2月)</t>
        </is>
      </c>
      <c r="C10" s="21" t="n">
        <v>3</v>
      </c>
      <c r="D10" s="21" t="n">
        <v>4</v>
      </c>
      <c r="E10" s="21" t="n">
        <v>3</v>
      </c>
      <c r="F10" s="21" t="n">
        <v>4</v>
      </c>
      <c r="G10" s="21" t="n">
        <v>3</v>
      </c>
      <c r="H10" s="21" t="n">
        <v>4</v>
      </c>
      <c r="I10" s="21" t="n">
        <v>3</v>
      </c>
      <c r="J10" s="21" t="n">
        <v>4</v>
      </c>
      <c r="K10" s="21" t="n">
        <v>3</v>
      </c>
      <c r="L10" s="21" t="n">
        <v>4</v>
      </c>
      <c r="M10" s="22">
        <f>SUM(C10:L10)</f>
        <v/>
      </c>
      <c r="N10" s="23">
        <f>AVERAGE(C10:L10)</f>
        <v/>
      </c>
      <c r="O10" s="24">
        <f>IF(N10&gt;=4.5,"🟢 獨立完成",IF(N10&gt;=3.5,"🔵 口語提示",IF(N10&gt;=2.0,"🟡 肢體/部分協助","🟠 大量協助")))</f>
        <v/>
      </c>
      <c r="P10" s="25">
        <f>M10/50</f>
        <v/>
      </c>
      <c r="Q10" s="11" t="n"/>
      <c r="R10" s="11" t="n"/>
      <c r="S10" s="11" t="n"/>
    </row>
    <row r="11">
      <c r="A11" s="11" t="n"/>
      <c r="B11" s="29" t="inlineStr">
        <is>
          <t>3. 後測 (第3月)</t>
        </is>
      </c>
      <c r="C11" s="21" t="n">
        <v>4</v>
      </c>
      <c r="D11" s="21" t="n">
        <v>5</v>
      </c>
      <c r="E11" s="21" t="n">
        <v>4</v>
      </c>
      <c r="F11" s="21" t="n">
        <v>5</v>
      </c>
      <c r="G11" s="21" t="n">
        <v>4</v>
      </c>
      <c r="H11" s="21" t="n">
        <v>5</v>
      </c>
      <c r="I11" s="21" t="n">
        <v>4</v>
      </c>
      <c r="J11" s="21" t="n">
        <v>5</v>
      </c>
      <c r="K11" s="21" t="n">
        <v>4</v>
      </c>
      <c r="L11" s="21" t="n">
        <v>5</v>
      </c>
      <c r="M11" s="22">
        <f>SUM(C11:L11)</f>
        <v/>
      </c>
      <c r="N11" s="23">
        <f>AVERAGE(C11:L11)</f>
        <v/>
      </c>
      <c r="O11" s="24">
        <f>IF(N11&gt;=4.5,"🟢 獨立完成",IF(N11&gt;=3.5,"🔵 口語提示",IF(N11&gt;=2.0,"🟡 肢體/部分協助","🟠 大量協助")))</f>
        <v/>
      </c>
      <c r="P11" s="25">
        <f>M11/50</f>
        <v/>
      </c>
      <c r="Q11" s="11" t="n"/>
      <c r="R11" s="11" t="n"/>
      <c r="S11" s="11" t="n"/>
    </row>
    <row r="12">
      <c r="A12" s="19" t="inlineStr">
        <is>
          <t>高齊</t>
        </is>
      </c>
      <c r="B12" s="20" t="inlineStr">
        <is>
          <t>1. 前測 (第1月)</t>
        </is>
      </c>
      <c r="C12" s="21" t="n">
        <v>2</v>
      </c>
      <c r="D12" s="21" t="n">
        <v>3</v>
      </c>
      <c r="E12" s="21" t="n">
        <v>4</v>
      </c>
      <c r="F12" s="21" t="n">
        <v>2</v>
      </c>
      <c r="G12" s="21" t="n">
        <v>3</v>
      </c>
      <c r="H12" s="21" t="n">
        <v>4</v>
      </c>
      <c r="I12" s="21" t="n">
        <v>2</v>
      </c>
      <c r="J12" s="21" t="n">
        <v>3</v>
      </c>
      <c r="K12" s="21" t="n">
        <v>4</v>
      </c>
      <c r="L12" s="21" t="n">
        <v>2</v>
      </c>
      <c r="M12" s="22">
        <f>SUM(C12:L12)</f>
        <v/>
      </c>
      <c r="N12" s="23">
        <f>AVERAGE(C12:L12)</f>
        <v/>
      </c>
      <c r="O12" s="24">
        <f>IF(N12&gt;=4.5,"🟢 獨立完成",IF(N12&gt;=3.5,"🔵 口語提示",IF(N12&gt;=2.0,"🟡 肢體/部分協助","🟠 大量協助")))</f>
        <v/>
      </c>
      <c r="P12" s="25">
        <f>M12/50</f>
        <v/>
      </c>
      <c r="Q12" s="26">
        <f>M14-M12</f>
        <v/>
      </c>
      <c r="R12" s="27">
        <f>IF(M12&gt;0, (M14-M12)/M12, (M14-M12)/50)</f>
        <v/>
      </c>
      <c r="S12" s="27">
        <f>P14-P12</f>
        <v/>
      </c>
    </row>
    <row r="13">
      <c r="A13" s="11" t="n"/>
      <c r="B13" s="28" t="inlineStr">
        <is>
          <t>2. 課堂 (第2月)</t>
        </is>
      </c>
      <c r="C13" s="21" t="n">
        <v>3</v>
      </c>
      <c r="D13" s="21" t="n">
        <v>4</v>
      </c>
      <c r="E13" s="21" t="n">
        <v>3</v>
      </c>
      <c r="F13" s="21" t="n">
        <v>4</v>
      </c>
      <c r="G13" s="21" t="n">
        <v>3</v>
      </c>
      <c r="H13" s="21" t="n">
        <v>4</v>
      </c>
      <c r="I13" s="21" t="n">
        <v>3</v>
      </c>
      <c r="J13" s="21" t="n">
        <v>4</v>
      </c>
      <c r="K13" s="21" t="n">
        <v>3</v>
      </c>
      <c r="L13" s="21" t="n">
        <v>4</v>
      </c>
      <c r="M13" s="22">
        <f>SUM(C13:L13)</f>
        <v/>
      </c>
      <c r="N13" s="23">
        <f>AVERAGE(C13:L13)</f>
        <v/>
      </c>
      <c r="O13" s="24">
        <f>IF(N13&gt;=4.5,"🟢 獨立完成",IF(N13&gt;=3.5,"🔵 口語提示",IF(N13&gt;=2.0,"🟡 肢體/部分協助","🟠 大量協助")))</f>
        <v/>
      </c>
      <c r="P13" s="25">
        <f>M13/50</f>
        <v/>
      </c>
      <c r="Q13" s="11" t="n"/>
      <c r="R13" s="11" t="n"/>
      <c r="S13" s="11" t="n"/>
    </row>
    <row r="14">
      <c r="A14" s="11" t="n"/>
      <c r="B14" s="29" t="inlineStr">
        <is>
          <t>3. 後測 (第3月)</t>
        </is>
      </c>
      <c r="C14" s="21" t="n">
        <v>4</v>
      </c>
      <c r="D14" s="21" t="n">
        <v>5</v>
      </c>
      <c r="E14" s="21" t="n">
        <v>4</v>
      </c>
      <c r="F14" s="21" t="n">
        <v>5</v>
      </c>
      <c r="G14" s="21" t="n">
        <v>4</v>
      </c>
      <c r="H14" s="21" t="n">
        <v>5</v>
      </c>
      <c r="I14" s="21" t="n">
        <v>4</v>
      </c>
      <c r="J14" s="21" t="n">
        <v>5</v>
      </c>
      <c r="K14" s="21" t="n">
        <v>4</v>
      </c>
      <c r="L14" s="21" t="n">
        <v>5</v>
      </c>
      <c r="M14" s="22">
        <f>SUM(C14:L14)</f>
        <v/>
      </c>
      <c r="N14" s="23">
        <f>AVERAGE(C14:L14)</f>
        <v/>
      </c>
      <c r="O14" s="24">
        <f>IF(N14&gt;=4.5,"🟢 獨立完成",IF(N14&gt;=3.5,"🔵 口語提示",IF(N14&gt;=2.0,"🟡 肢體/部分協助","🟠 大量協助")))</f>
        <v/>
      </c>
      <c r="P14" s="25">
        <f>M14/50</f>
        <v/>
      </c>
      <c r="Q14" s="11" t="n"/>
      <c r="R14" s="11" t="n"/>
      <c r="S14" s="11" t="n"/>
    </row>
    <row r="15">
      <c r="A15" s="19" t="inlineStr">
        <is>
          <t>芷嫻</t>
        </is>
      </c>
      <c r="B15" s="20" t="inlineStr">
        <is>
          <t>1. 前測 (第1月)</t>
        </is>
      </c>
      <c r="C15" s="21" t="n">
        <v>2</v>
      </c>
      <c r="D15" s="21" t="n">
        <v>3</v>
      </c>
      <c r="E15" s="21" t="n">
        <v>4</v>
      </c>
      <c r="F15" s="21" t="n">
        <v>2</v>
      </c>
      <c r="G15" s="21" t="n">
        <v>3</v>
      </c>
      <c r="H15" s="21" t="n">
        <v>4</v>
      </c>
      <c r="I15" s="21" t="n">
        <v>2</v>
      </c>
      <c r="J15" s="21" t="n">
        <v>3</v>
      </c>
      <c r="K15" s="21" t="n">
        <v>4</v>
      </c>
      <c r="L15" s="21" t="n">
        <v>2</v>
      </c>
      <c r="M15" s="22">
        <f>SUM(C15:L15)</f>
        <v/>
      </c>
      <c r="N15" s="23">
        <f>AVERAGE(C15:L15)</f>
        <v/>
      </c>
      <c r="O15" s="24">
        <f>IF(N15&gt;=4.5,"🟢 獨立完成",IF(N15&gt;=3.5,"🔵 口語提示",IF(N15&gt;=2.0,"🟡 肢體/部分協助","🟠 大量協助")))</f>
        <v/>
      </c>
      <c r="P15" s="25">
        <f>M15/50</f>
        <v/>
      </c>
      <c r="Q15" s="26">
        <f>M17-M15</f>
        <v/>
      </c>
      <c r="R15" s="27">
        <f>IF(M15&gt;0, (M17-M15)/M15, (M17-M15)/50)</f>
        <v/>
      </c>
      <c r="S15" s="27">
        <f>P17-P15</f>
        <v/>
      </c>
    </row>
    <row r="16">
      <c r="A16" s="11" t="n"/>
      <c r="B16" s="28" t="inlineStr">
        <is>
          <t>2. 課堂 (第2月)</t>
        </is>
      </c>
      <c r="C16" s="21" t="n">
        <v>3</v>
      </c>
      <c r="D16" s="21" t="n">
        <v>4</v>
      </c>
      <c r="E16" s="21" t="n">
        <v>3</v>
      </c>
      <c r="F16" s="21" t="n">
        <v>4</v>
      </c>
      <c r="G16" s="21" t="n">
        <v>3</v>
      </c>
      <c r="H16" s="21" t="n">
        <v>4</v>
      </c>
      <c r="I16" s="21" t="n">
        <v>3</v>
      </c>
      <c r="J16" s="21" t="n">
        <v>4</v>
      </c>
      <c r="K16" s="21" t="n">
        <v>3</v>
      </c>
      <c r="L16" s="21" t="n">
        <v>4</v>
      </c>
      <c r="M16" s="22">
        <f>SUM(C16:L16)</f>
        <v/>
      </c>
      <c r="N16" s="23">
        <f>AVERAGE(C16:L16)</f>
        <v/>
      </c>
      <c r="O16" s="24">
        <f>IF(N16&gt;=4.5,"🟢 獨立完成",IF(N16&gt;=3.5,"🔵 口語提示",IF(N16&gt;=2.0,"🟡 肢體/部分協助","🟠 大量協助")))</f>
        <v/>
      </c>
      <c r="P16" s="25">
        <f>M16/50</f>
        <v/>
      </c>
      <c r="Q16" s="11" t="n"/>
      <c r="R16" s="11" t="n"/>
      <c r="S16" s="11" t="n"/>
    </row>
    <row r="17">
      <c r="A17" s="11" t="n"/>
      <c r="B17" s="29" t="inlineStr">
        <is>
          <t>3. 後測 (第3月)</t>
        </is>
      </c>
      <c r="C17" s="21" t="n">
        <v>4</v>
      </c>
      <c r="D17" s="21" t="n">
        <v>5</v>
      </c>
      <c r="E17" s="21" t="n">
        <v>4</v>
      </c>
      <c r="F17" s="21" t="n">
        <v>5</v>
      </c>
      <c r="G17" s="21" t="n">
        <v>4</v>
      </c>
      <c r="H17" s="21" t="n">
        <v>5</v>
      </c>
      <c r="I17" s="21" t="n">
        <v>4</v>
      </c>
      <c r="J17" s="21" t="n">
        <v>5</v>
      </c>
      <c r="K17" s="21" t="n">
        <v>4</v>
      </c>
      <c r="L17" s="21" t="n">
        <v>5</v>
      </c>
      <c r="M17" s="22">
        <f>SUM(C17:L17)</f>
        <v/>
      </c>
      <c r="N17" s="23">
        <f>AVERAGE(C17:L17)</f>
        <v/>
      </c>
      <c r="O17" s="24">
        <f>IF(N17&gt;=4.5,"🟢 獨立完成",IF(N17&gt;=3.5,"🔵 口語提示",IF(N17&gt;=2.0,"🟡 肢體/部分協助","🟠 大量協助")))</f>
        <v/>
      </c>
      <c r="P17" s="25">
        <f>M17/50</f>
        <v/>
      </c>
      <c r="Q17" s="11" t="n"/>
      <c r="R17" s="11" t="n"/>
      <c r="S17" s="11" t="n"/>
    </row>
    <row r="18">
      <c r="A18" s="19" t="inlineStr">
        <is>
          <t>志豪</t>
        </is>
      </c>
      <c r="B18" s="20" t="inlineStr">
        <is>
          <t>1. 前測 (第1月)</t>
        </is>
      </c>
      <c r="C18" s="21" t="n">
        <v>2</v>
      </c>
      <c r="D18" s="21" t="n">
        <v>3</v>
      </c>
      <c r="E18" s="21" t="n">
        <v>4</v>
      </c>
      <c r="F18" s="21" t="n">
        <v>2</v>
      </c>
      <c r="G18" s="21" t="n">
        <v>3</v>
      </c>
      <c r="H18" s="21" t="n">
        <v>4</v>
      </c>
      <c r="I18" s="21" t="n">
        <v>2</v>
      </c>
      <c r="J18" s="21" t="n">
        <v>3</v>
      </c>
      <c r="K18" s="21" t="n">
        <v>4</v>
      </c>
      <c r="L18" s="21" t="n">
        <v>2</v>
      </c>
      <c r="M18" s="22">
        <f>SUM(C18:L18)</f>
        <v/>
      </c>
      <c r="N18" s="23">
        <f>AVERAGE(C18:L18)</f>
        <v/>
      </c>
      <c r="O18" s="24">
        <f>IF(N18&gt;=4.5,"🟢 獨立完成",IF(N18&gt;=3.5,"🔵 口語提示",IF(N18&gt;=2.0,"🟡 肢體/部分協助","🟠 大量協助")))</f>
        <v/>
      </c>
      <c r="P18" s="25">
        <f>M18/50</f>
        <v/>
      </c>
      <c r="Q18" s="26">
        <f>M20-M18</f>
        <v/>
      </c>
      <c r="R18" s="27">
        <f>IF(M18&gt;0, (M20-M18)/M18, (M20-M18)/50)</f>
        <v/>
      </c>
      <c r="S18" s="27">
        <f>P20-P18</f>
        <v/>
      </c>
    </row>
    <row r="19">
      <c r="A19" s="11" t="n"/>
      <c r="B19" s="28" t="inlineStr">
        <is>
          <t>2. 課堂 (第2月)</t>
        </is>
      </c>
      <c r="C19" s="21" t="n">
        <v>3</v>
      </c>
      <c r="D19" s="21" t="n">
        <v>4</v>
      </c>
      <c r="E19" s="21" t="n">
        <v>3</v>
      </c>
      <c r="F19" s="21" t="n">
        <v>4</v>
      </c>
      <c r="G19" s="21" t="n">
        <v>3</v>
      </c>
      <c r="H19" s="21" t="n">
        <v>4</v>
      </c>
      <c r="I19" s="21" t="n">
        <v>3</v>
      </c>
      <c r="J19" s="21" t="n">
        <v>4</v>
      </c>
      <c r="K19" s="21" t="n">
        <v>3</v>
      </c>
      <c r="L19" s="21" t="n">
        <v>4</v>
      </c>
      <c r="M19" s="22">
        <f>SUM(C19:L19)</f>
        <v/>
      </c>
      <c r="N19" s="23">
        <f>AVERAGE(C19:L19)</f>
        <v/>
      </c>
      <c r="O19" s="24">
        <f>IF(N19&gt;=4.5,"🟢 獨立完成",IF(N19&gt;=3.5,"🔵 口語提示",IF(N19&gt;=2.0,"🟡 肢體/部分協助","🟠 大量協助")))</f>
        <v/>
      </c>
      <c r="P19" s="25">
        <f>M19/50</f>
        <v/>
      </c>
      <c r="Q19" s="11" t="n"/>
      <c r="R19" s="11" t="n"/>
      <c r="S19" s="11" t="n"/>
    </row>
    <row r="20">
      <c r="A20" s="11" t="n"/>
      <c r="B20" s="29" t="inlineStr">
        <is>
          <t>3. 後測 (第3月)</t>
        </is>
      </c>
      <c r="C20" s="21" t="n">
        <v>4</v>
      </c>
      <c r="D20" s="21" t="n">
        <v>5</v>
      </c>
      <c r="E20" s="21" t="n">
        <v>4</v>
      </c>
      <c r="F20" s="21" t="n">
        <v>5</v>
      </c>
      <c r="G20" s="21" t="n">
        <v>4</v>
      </c>
      <c r="H20" s="21" t="n">
        <v>5</v>
      </c>
      <c r="I20" s="21" t="n">
        <v>4</v>
      </c>
      <c r="J20" s="21" t="n">
        <v>5</v>
      </c>
      <c r="K20" s="21" t="n">
        <v>4</v>
      </c>
      <c r="L20" s="21" t="n">
        <v>5</v>
      </c>
      <c r="M20" s="22">
        <f>SUM(C20:L20)</f>
        <v/>
      </c>
      <c r="N20" s="23">
        <f>AVERAGE(C20:L20)</f>
        <v/>
      </c>
      <c r="O20" s="24">
        <f>IF(N20&gt;=4.5,"🟢 獨立完成",IF(N20&gt;=3.5,"🔵 口語提示",IF(N20&gt;=2.0,"🟡 肢體/部分協助","🟠 大量協助")))</f>
        <v/>
      </c>
      <c r="P20" s="25">
        <f>M20/50</f>
        <v/>
      </c>
      <c r="Q20" s="11" t="n"/>
      <c r="R20" s="11" t="n"/>
      <c r="S20" s="11" t="n"/>
    </row>
    <row r="21">
      <c r="A21" s="19" t="inlineStr">
        <is>
          <t>雅婷</t>
        </is>
      </c>
      <c r="B21" s="20" t="inlineStr">
        <is>
          <t>1. 前測 (第1月)</t>
        </is>
      </c>
      <c r="C21" s="21" t="n">
        <v>2</v>
      </c>
      <c r="D21" s="21" t="n">
        <v>3</v>
      </c>
      <c r="E21" s="21" t="n">
        <v>4</v>
      </c>
      <c r="F21" s="21" t="n">
        <v>2</v>
      </c>
      <c r="G21" s="21" t="n">
        <v>3</v>
      </c>
      <c r="H21" s="21" t="n">
        <v>4</v>
      </c>
      <c r="I21" s="21" t="n">
        <v>2</v>
      </c>
      <c r="J21" s="21" t="n">
        <v>3</v>
      </c>
      <c r="K21" s="21" t="n">
        <v>4</v>
      </c>
      <c r="L21" s="21" t="n">
        <v>2</v>
      </c>
      <c r="M21" s="22">
        <f>SUM(C21:L21)</f>
        <v/>
      </c>
      <c r="N21" s="23">
        <f>AVERAGE(C21:L21)</f>
        <v/>
      </c>
      <c r="O21" s="24">
        <f>IF(N21&gt;=4.5,"🟢 獨立完成",IF(N21&gt;=3.5,"🔵 口語提示",IF(N21&gt;=2.0,"🟡 肢體/部分協助","🟠 大量協助")))</f>
        <v/>
      </c>
      <c r="P21" s="25">
        <f>M21/50</f>
        <v/>
      </c>
      <c r="Q21" s="26">
        <f>M23-M21</f>
        <v/>
      </c>
      <c r="R21" s="27">
        <f>IF(M21&gt;0, (M23-M21)/M21, (M23-M21)/50)</f>
        <v/>
      </c>
      <c r="S21" s="27">
        <f>P23-P21</f>
        <v/>
      </c>
    </row>
    <row r="22">
      <c r="A22" s="11" t="n"/>
      <c r="B22" s="28" t="inlineStr">
        <is>
          <t>2. 課堂 (第2月)</t>
        </is>
      </c>
      <c r="C22" s="21" t="n">
        <v>3</v>
      </c>
      <c r="D22" s="21" t="n">
        <v>4</v>
      </c>
      <c r="E22" s="21" t="n">
        <v>3</v>
      </c>
      <c r="F22" s="21" t="n">
        <v>4</v>
      </c>
      <c r="G22" s="21" t="n">
        <v>3</v>
      </c>
      <c r="H22" s="21" t="n">
        <v>4</v>
      </c>
      <c r="I22" s="21" t="n">
        <v>3</v>
      </c>
      <c r="J22" s="21" t="n">
        <v>4</v>
      </c>
      <c r="K22" s="21" t="n">
        <v>3</v>
      </c>
      <c r="L22" s="21" t="n">
        <v>4</v>
      </c>
      <c r="M22" s="22">
        <f>SUM(C22:L22)</f>
        <v/>
      </c>
      <c r="N22" s="23">
        <f>AVERAGE(C22:L22)</f>
        <v/>
      </c>
      <c r="O22" s="24">
        <f>IF(N22&gt;=4.5,"🟢 獨立完成",IF(N22&gt;=3.5,"🔵 口語提示",IF(N22&gt;=2.0,"🟡 肢體/部分協助","🟠 大量協助")))</f>
        <v/>
      </c>
      <c r="P22" s="25">
        <f>M22/50</f>
        <v/>
      </c>
      <c r="Q22" s="11" t="n"/>
      <c r="R22" s="11" t="n"/>
      <c r="S22" s="11" t="n"/>
    </row>
    <row r="23">
      <c r="A23" s="11" t="n"/>
      <c r="B23" s="29" t="inlineStr">
        <is>
          <t>3. 後測 (第3月)</t>
        </is>
      </c>
      <c r="C23" s="21" t="n">
        <v>4</v>
      </c>
      <c r="D23" s="21" t="n">
        <v>5</v>
      </c>
      <c r="E23" s="21" t="n">
        <v>4</v>
      </c>
      <c r="F23" s="21" t="n">
        <v>5</v>
      </c>
      <c r="G23" s="21" t="n">
        <v>4</v>
      </c>
      <c r="H23" s="21" t="n">
        <v>5</v>
      </c>
      <c r="I23" s="21" t="n">
        <v>4</v>
      </c>
      <c r="J23" s="21" t="n">
        <v>5</v>
      </c>
      <c r="K23" s="21" t="n">
        <v>4</v>
      </c>
      <c r="L23" s="21" t="n">
        <v>5</v>
      </c>
      <c r="M23" s="22">
        <f>SUM(C23:L23)</f>
        <v/>
      </c>
      <c r="N23" s="23">
        <f>AVERAGE(C23:L23)</f>
        <v/>
      </c>
      <c r="O23" s="24">
        <f>IF(N23&gt;=4.5,"🟢 獨立完成",IF(N23&gt;=3.5,"🔵 口語提示",IF(N23&gt;=2.0,"🟡 肢體/部分協助","🟠 大量協助")))</f>
        <v/>
      </c>
      <c r="P23" s="25">
        <f>M23/50</f>
        <v/>
      </c>
      <c r="Q23" s="11" t="n"/>
      <c r="R23" s="11" t="n"/>
      <c r="S23" s="11" t="n"/>
    </row>
    <row r="24">
      <c r="A24" s="30" t="inlineStr">
        <is>
          <t>全班平均常模</t>
        </is>
      </c>
      <c r="C24" s="31">
        <f>AVERAGE(C6:C23)</f>
        <v/>
      </c>
      <c r="D24" s="31">
        <f>AVERAGE(D6:D23)</f>
        <v/>
      </c>
      <c r="E24" s="31">
        <f>AVERAGE(E6:E23)</f>
        <v/>
      </c>
      <c r="F24" s="31">
        <f>AVERAGE(F6:F23)</f>
        <v/>
      </c>
      <c r="G24" s="31">
        <f>AVERAGE(G6:G23)</f>
        <v/>
      </c>
      <c r="H24" s="31">
        <f>AVERAGE(H6:H23)</f>
        <v/>
      </c>
      <c r="I24" s="31">
        <f>AVERAGE(I6:I23)</f>
        <v/>
      </c>
      <c r="J24" s="31">
        <f>AVERAGE(J6:J23)</f>
        <v/>
      </c>
      <c r="K24" s="31">
        <f>AVERAGE(K6:K23)</f>
        <v/>
      </c>
      <c r="L24" s="31">
        <f>AVERAGE(L6:L23)</f>
        <v/>
      </c>
      <c r="M24" s="31">
        <f>AVERAGE(M6:M23)</f>
        <v/>
      </c>
      <c r="N24" s="31">
        <f>AVERAGE(N6:N23)</f>
        <v/>
      </c>
      <c r="O24" s="32" t="inlineStr">
        <is>
          <t>-</t>
        </is>
      </c>
      <c r="P24" s="33">
        <f>AVERAGE(P6:P23)</f>
        <v/>
      </c>
      <c r="Q24" s="34">
        <f>AVERAGE(Q6:Q23)</f>
        <v/>
      </c>
      <c r="R24" s="35">
        <f>AVERAGE(R6:R23)</f>
        <v/>
      </c>
      <c r="S24" s="35">
        <f>AVERAGE(S6:S23)</f>
        <v/>
      </c>
    </row>
    <row r="27">
      <c r="A27" s="36" t="inlineStr">
        <is>
          <t>【Q2 檢核指標項目清單參照】</t>
        </is>
      </c>
    </row>
    <row r="28">
      <c r="A28" s="37" t="inlineStr">
        <is>
          <t>指標 1</t>
        </is>
      </c>
      <c r="B28" s="38" t="inlineStr">
        <is>
          <t>1. 能分辨紅（少吃）、黃（適量）、綠（天天吃）燈食物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</row>
    <row r="29">
      <c r="A29" s="37" t="inlineStr">
        <is>
          <t>指標 2</t>
        </is>
      </c>
      <c r="B29" s="38" t="inlineStr">
        <is>
          <t>2. 能從菜單或實物中挑選澱粉類（全穀雜糧）食物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</row>
    <row r="30">
      <c r="A30" s="37" t="inlineStr">
        <is>
          <t>指標 3</t>
        </is>
      </c>
      <c r="B30" s="38" t="inlineStr">
        <is>
          <t>3. 能挑選蛋白質（蛋豆魚肉）食物</t>
        </is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</row>
    <row r="31">
      <c r="A31" s="37" t="inlineStr">
        <is>
          <t>指標 4</t>
        </is>
      </c>
      <c r="B31" s="38" t="inlineStr">
        <is>
          <t>4. 能主動選擇或夾取蔬菜類食物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</row>
    <row r="32">
      <c r="A32" s="37" t="inlineStr">
        <is>
          <t>指標 5</t>
        </is>
      </c>
      <c r="B32" s="38" t="inlineStr">
        <is>
          <t>5. 能依據均衡飲食原則組合一份完整餐點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</row>
    <row r="33">
      <c r="A33" s="37" t="inlineStr">
        <is>
          <t>指標 6</t>
        </is>
      </c>
      <c r="B33" s="38" t="inlineStr">
        <is>
          <t>6. 能正確操作額溫槍並對準額頭量測</t>
        </is>
      </c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</row>
    <row r="34">
      <c r="A34" s="37" t="inlineStr">
        <is>
          <t>指標 7</t>
        </is>
      </c>
      <c r="B34" s="38" t="inlineStr">
        <is>
          <t>7. 能正確配戴壓脈帶並操作電子血壓計</t>
        </is>
      </c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</row>
    <row r="35">
      <c r="A35" s="37" t="inlineStr">
        <is>
          <t>指標 8</t>
        </is>
      </c>
      <c r="B35" s="38" t="inlineStr">
        <is>
          <t>8. 能脫鞋站穩量測體重並正確讀取數值</t>
        </is>
      </c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</row>
    <row r="36">
      <c r="A36" s="37" t="inlineStr">
        <is>
          <t>指標 9</t>
        </is>
      </c>
      <c r="B36" s="38" t="inlineStr">
        <is>
          <t>9. 能正確夾好血氧機並保持靜止量測</t>
        </is>
      </c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</row>
    <row r="37">
      <c r="A37" s="37" t="inlineStr">
        <is>
          <t>指標 10</t>
        </is>
      </c>
      <c r="B37" s="38" t="inlineStr">
        <is>
          <t>10. 能看懂自己的健康數據並說出異常時需注意的地方</t>
        </is>
      </c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</row>
  </sheetData>
  <mergeCells count="39">
    <mergeCell ref="B35:L35"/>
    <mergeCell ref="Q9:Q11"/>
    <mergeCell ref="A21:A23"/>
    <mergeCell ref="A24:B24"/>
    <mergeCell ref="S9:S11"/>
    <mergeCell ref="A12:A14"/>
    <mergeCell ref="Q6:Q8"/>
    <mergeCell ref="A1:V2"/>
    <mergeCell ref="Q15:Q17"/>
    <mergeCell ref="S15:S17"/>
    <mergeCell ref="B31:L31"/>
    <mergeCell ref="R18:R20"/>
    <mergeCell ref="R9:R11"/>
    <mergeCell ref="A15:A17"/>
    <mergeCell ref="A9:A11"/>
    <mergeCell ref="Q18:Q20"/>
    <mergeCell ref="S18:S20"/>
    <mergeCell ref="Q12:Q14"/>
    <mergeCell ref="A4:A5"/>
    <mergeCell ref="S12:S14"/>
    <mergeCell ref="Q21:Q23"/>
    <mergeCell ref="B29:L29"/>
    <mergeCell ref="S21:S23"/>
    <mergeCell ref="B34:L34"/>
    <mergeCell ref="B37:L37"/>
    <mergeCell ref="B28:L28"/>
    <mergeCell ref="A18:A20"/>
    <mergeCell ref="A6:A8"/>
    <mergeCell ref="R6:R8"/>
    <mergeCell ref="B36:L36"/>
    <mergeCell ref="B4:B5"/>
    <mergeCell ref="B30:L30"/>
    <mergeCell ref="R12:R14"/>
    <mergeCell ref="B33:L33"/>
    <mergeCell ref="R15:R17"/>
    <mergeCell ref="R21:R23"/>
    <mergeCell ref="A3:V3"/>
    <mergeCell ref="B32:L32"/>
    <mergeCell ref="S6:S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2" t="inlineStr">
        <is>
          <t>第三季 (7~9月)：緊急事故與健康安全 - 學員前測／課堂平時／後測評量打分表</t>
        </is>
      </c>
    </row>
    <row r="2"/>
    <row r="3">
      <c r="A3" s="13" t="inlineStr">
        <is>
          <t>【評分提示等級】5分:可獨立完成 ｜ 4分:口語提示 ｜ 3分:肢體協助 ｜ 2分:部分協助 ｜ 1分:大量協助 ｜ 0分:無法完成 (滿分50分)</t>
        </is>
      </c>
    </row>
    <row r="4">
      <c r="A4" s="14" t="inlineStr">
        <is>
          <t>學員姓名</t>
        </is>
      </c>
      <c r="B4" s="14" t="inlineStr">
        <is>
          <t>評量階段</t>
        </is>
      </c>
      <c r="C4" s="15" t="inlineStr">
        <is>
          <t>指標 1</t>
        </is>
      </c>
      <c r="D4" s="15" t="inlineStr">
        <is>
          <t>指標 2</t>
        </is>
      </c>
      <c r="E4" s="15" t="inlineStr">
        <is>
          <t>指標 3</t>
        </is>
      </c>
      <c r="F4" s="15" t="inlineStr">
        <is>
          <t>指標 4</t>
        </is>
      </c>
      <c r="G4" s="15" t="inlineStr">
        <is>
          <t>指標 5</t>
        </is>
      </c>
      <c r="H4" s="15" t="inlineStr">
        <is>
          <t>指標 6</t>
        </is>
      </c>
      <c r="I4" s="15" t="inlineStr">
        <is>
          <t>指標 7</t>
        </is>
      </c>
      <c r="J4" s="15" t="inlineStr">
        <is>
          <t>指標 8</t>
        </is>
      </c>
      <c r="K4" s="15" t="inlineStr">
        <is>
          <t>指標 9</t>
        </is>
      </c>
      <c r="L4" s="15" t="inlineStr">
        <is>
          <t>指標 10</t>
        </is>
      </c>
      <c r="M4" s="16" t="inlineStr">
        <is>
          <t>總得分</t>
        </is>
      </c>
      <c r="N4" s="16" t="inlineStr">
        <is>
          <t>平均分</t>
        </is>
      </c>
      <c r="O4" s="16" t="inlineStr">
        <is>
          <t>學習階段判定</t>
        </is>
      </c>
      <c r="P4" s="16" t="inlineStr">
        <is>
          <t>達成率</t>
        </is>
      </c>
      <c r="Q4" s="16" t="inlineStr">
        <is>
          <t>進步分數</t>
        </is>
      </c>
      <c r="R4" s="16" t="inlineStr">
        <is>
          <t>進步率</t>
        </is>
      </c>
      <c r="S4" s="16" t="inlineStr">
        <is>
          <t>成長百分點</t>
        </is>
      </c>
    </row>
    <row r="5">
      <c r="C5" s="17" t="inlineStr">
        <is>
          <t>(滿分5)</t>
        </is>
      </c>
      <c r="D5" s="17" t="inlineStr">
        <is>
          <t>(滿分5)</t>
        </is>
      </c>
      <c r="E5" s="17" t="inlineStr">
        <is>
          <t>(滿分5)</t>
        </is>
      </c>
      <c r="F5" s="17" t="inlineStr">
        <is>
          <t>(滿分5)</t>
        </is>
      </c>
      <c r="G5" s="17" t="inlineStr">
        <is>
          <t>(滿分5)</t>
        </is>
      </c>
      <c r="H5" s="17" t="inlineStr">
        <is>
          <t>(滿分5)</t>
        </is>
      </c>
      <c r="I5" s="17" t="inlineStr">
        <is>
          <t>(滿分5)</t>
        </is>
      </c>
      <c r="J5" s="17" t="inlineStr">
        <is>
          <t>(滿分5)</t>
        </is>
      </c>
      <c r="K5" s="17" t="inlineStr">
        <is>
          <t>(滿分5)</t>
        </is>
      </c>
      <c r="L5" s="17" t="inlineStr">
        <is>
          <t>(滿分5)</t>
        </is>
      </c>
      <c r="M5" s="18" t="inlineStr">
        <is>
          <t>(滿分50)</t>
        </is>
      </c>
      <c r="N5" s="18" t="inlineStr">
        <is>
          <t>(0~5分)</t>
        </is>
      </c>
      <c r="O5" s="18" t="inlineStr">
        <is>
          <t>(等級標記)</t>
        </is>
      </c>
      <c r="P5" s="18" t="inlineStr">
        <is>
          <t>(%)</t>
        </is>
      </c>
      <c r="Q5" s="18" t="inlineStr">
        <is>
          <t>(後-前)</t>
        </is>
      </c>
      <c r="R5" s="18" t="inlineStr">
        <is>
          <t>(%)</t>
        </is>
      </c>
      <c r="S5" s="18" t="inlineStr">
        <is>
          <t>(%pt)</t>
        </is>
      </c>
    </row>
    <row r="6">
      <c r="A6" s="19" t="inlineStr">
        <is>
          <t>宇彤</t>
        </is>
      </c>
      <c r="B6" s="20" t="inlineStr">
        <is>
          <t>1. 前測 (第1月)</t>
        </is>
      </c>
      <c r="C6" s="21" t="n">
        <v>2</v>
      </c>
      <c r="D6" s="21" t="n">
        <v>3</v>
      </c>
      <c r="E6" s="21" t="n">
        <v>4</v>
      </c>
      <c r="F6" s="21" t="n">
        <v>2</v>
      </c>
      <c r="G6" s="21" t="n">
        <v>3</v>
      </c>
      <c r="H6" s="21" t="n">
        <v>4</v>
      </c>
      <c r="I6" s="21" t="n">
        <v>2</v>
      </c>
      <c r="J6" s="21" t="n">
        <v>3</v>
      </c>
      <c r="K6" s="21" t="n">
        <v>4</v>
      </c>
      <c r="L6" s="21" t="n">
        <v>2</v>
      </c>
      <c r="M6" s="22">
        <f>SUM(C6:L6)</f>
        <v/>
      </c>
      <c r="N6" s="23">
        <f>AVERAGE(C6:L6)</f>
        <v/>
      </c>
      <c r="O6" s="24">
        <f>IF(N6&gt;=4.5,"🟢 獨立完成",IF(N6&gt;=3.5,"🔵 口語提示",IF(N6&gt;=2.0,"🟡 肢體/部分協助","🟠 大量協助")))</f>
        <v/>
      </c>
      <c r="P6" s="25">
        <f>M6/50</f>
        <v/>
      </c>
      <c r="Q6" s="26">
        <f>M8-M6</f>
        <v/>
      </c>
      <c r="R6" s="27">
        <f>IF(M6&gt;0, (M8-M6)/M6, (M8-M6)/50)</f>
        <v/>
      </c>
      <c r="S6" s="27">
        <f>P8-P6</f>
        <v/>
      </c>
    </row>
    <row r="7">
      <c r="A7" s="11" t="n"/>
      <c r="B7" s="28" t="inlineStr">
        <is>
          <t>2. 課堂 (第2月)</t>
        </is>
      </c>
      <c r="C7" s="21" t="n">
        <v>3</v>
      </c>
      <c r="D7" s="21" t="n">
        <v>4</v>
      </c>
      <c r="E7" s="21" t="n">
        <v>3</v>
      </c>
      <c r="F7" s="21" t="n">
        <v>4</v>
      </c>
      <c r="G7" s="21" t="n">
        <v>3</v>
      </c>
      <c r="H7" s="21" t="n">
        <v>4</v>
      </c>
      <c r="I7" s="21" t="n">
        <v>3</v>
      </c>
      <c r="J7" s="21" t="n">
        <v>4</v>
      </c>
      <c r="K7" s="21" t="n">
        <v>3</v>
      </c>
      <c r="L7" s="21" t="n">
        <v>4</v>
      </c>
      <c r="M7" s="22">
        <f>SUM(C7:L7)</f>
        <v/>
      </c>
      <c r="N7" s="23">
        <f>AVERAGE(C7:L7)</f>
        <v/>
      </c>
      <c r="O7" s="24">
        <f>IF(N7&gt;=4.5,"🟢 獨立完成",IF(N7&gt;=3.5,"🔵 口語提示",IF(N7&gt;=2.0,"🟡 肢體/部分協助","🟠 大量協助")))</f>
        <v/>
      </c>
      <c r="P7" s="25">
        <f>M7/50</f>
        <v/>
      </c>
      <c r="Q7" s="11" t="n"/>
      <c r="R7" s="11" t="n"/>
      <c r="S7" s="11" t="n"/>
    </row>
    <row r="8">
      <c r="A8" s="11" t="n"/>
      <c r="B8" s="29" t="inlineStr">
        <is>
          <t>3. 後測 (第3月)</t>
        </is>
      </c>
      <c r="C8" s="21" t="n">
        <v>4</v>
      </c>
      <c r="D8" s="21" t="n">
        <v>5</v>
      </c>
      <c r="E8" s="21" t="n">
        <v>4</v>
      </c>
      <c r="F8" s="21" t="n">
        <v>5</v>
      </c>
      <c r="G8" s="21" t="n">
        <v>4</v>
      </c>
      <c r="H8" s="21" t="n">
        <v>5</v>
      </c>
      <c r="I8" s="21" t="n">
        <v>4</v>
      </c>
      <c r="J8" s="21" t="n">
        <v>5</v>
      </c>
      <c r="K8" s="21" t="n">
        <v>4</v>
      </c>
      <c r="L8" s="21" t="n">
        <v>5</v>
      </c>
      <c r="M8" s="22">
        <f>SUM(C8:L8)</f>
        <v/>
      </c>
      <c r="N8" s="23">
        <f>AVERAGE(C8:L8)</f>
        <v/>
      </c>
      <c r="O8" s="24">
        <f>IF(N8&gt;=4.5,"🟢 獨立完成",IF(N8&gt;=3.5,"🔵 口語提示",IF(N8&gt;=2.0,"🟡 肢體/部分協助","🟠 大量協助")))</f>
        <v/>
      </c>
      <c r="P8" s="25">
        <f>M8/50</f>
        <v/>
      </c>
      <c r="Q8" s="11" t="n"/>
      <c r="R8" s="11" t="n"/>
      <c r="S8" s="11" t="n"/>
    </row>
    <row r="9">
      <c r="A9" s="19" t="inlineStr">
        <is>
          <t>育萱</t>
        </is>
      </c>
      <c r="B9" s="20" t="inlineStr">
        <is>
          <t>1. 前測 (第1月)</t>
        </is>
      </c>
      <c r="C9" s="21" t="n">
        <v>2</v>
      </c>
      <c r="D9" s="21" t="n">
        <v>3</v>
      </c>
      <c r="E9" s="21" t="n">
        <v>4</v>
      </c>
      <c r="F9" s="21" t="n">
        <v>2</v>
      </c>
      <c r="G9" s="21" t="n">
        <v>3</v>
      </c>
      <c r="H9" s="21" t="n">
        <v>4</v>
      </c>
      <c r="I9" s="21" t="n">
        <v>2</v>
      </c>
      <c r="J9" s="21" t="n">
        <v>3</v>
      </c>
      <c r="K9" s="21" t="n">
        <v>4</v>
      </c>
      <c r="L9" s="21" t="n">
        <v>2</v>
      </c>
      <c r="M9" s="22">
        <f>SUM(C9:L9)</f>
        <v/>
      </c>
      <c r="N9" s="23">
        <f>AVERAGE(C9:L9)</f>
        <v/>
      </c>
      <c r="O9" s="24">
        <f>IF(N9&gt;=4.5,"🟢 獨立完成",IF(N9&gt;=3.5,"🔵 口語提示",IF(N9&gt;=2.0,"🟡 肢體/部分協助","🟠 大量協助")))</f>
        <v/>
      </c>
      <c r="P9" s="25">
        <f>M9/50</f>
        <v/>
      </c>
      <c r="Q9" s="26">
        <f>M11-M9</f>
        <v/>
      </c>
      <c r="R9" s="27">
        <f>IF(M9&gt;0, (M11-M9)/M9, (M11-M9)/50)</f>
        <v/>
      </c>
      <c r="S9" s="27">
        <f>P11-P9</f>
        <v/>
      </c>
    </row>
    <row r="10">
      <c r="A10" s="11" t="n"/>
      <c r="B10" s="28" t="inlineStr">
        <is>
          <t>2. 課堂 (第2月)</t>
        </is>
      </c>
      <c r="C10" s="21" t="n">
        <v>3</v>
      </c>
      <c r="D10" s="21" t="n">
        <v>4</v>
      </c>
      <c r="E10" s="21" t="n">
        <v>3</v>
      </c>
      <c r="F10" s="21" t="n">
        <v>4</v>
      </c>
      <c r="G10" s="21" t="n">
        <v>3</v>
      </c>
      <c r="H10" s="21" t="n">
        <v>4</v>
      </c>
      <c r="I10" s="21" t="n">
        <v>3</v>
      </c>
      <c r="J10" s="21" t="n">
        <v>4</v>
      </c>
      <c r="K10" s="21" t="n">
        <v>3</v>
      </c>
      <c r="L10" s="21" t="n">
        <v>4</v>
      </c>
      <c r="M10" s="22">
        <f>SUM(C10:L10)</f>
        <v/>
      </c>
      <c r="N10" s="23">
        <f>AVERAGE(C10:L10)</f>
        <v/>
      </c>
      <c r="O10" s="24">
        <f>IF(N10&gt;=4.5,"🟢 獨立完成",IF(N10&gt;=3.5,"🔵 口語提示",IF(N10&gt;=2.0,"🟡 肢體/部分協助","🟠 大量協助")))</f>
        <v/>
      </c>
      <c r="P10" s="25">
        <f>M10/50</f>
        <v/>
      </c>
      <c r="Q10" s="11" t="n"/>
      <c r="R10" s="11" t="n"/>
      <c r="S10" s="11" t="n"/>
    </row>
    <row r="11">
      <c r="A11" s="11" t="n"/>
      <c r="B11" s="29" t="inlineStr">
        <is>
          <t>3. 後測 (第3月)</t>
        </is>
      </c>
      <c r="C11" s="21" t="n">
        <v>4</v>
      </c>
      <c r="D11" s="21" t="n">
        <v>5</v>
      </c>
      <c r="E11" s="21" t="n">
        <v>4</v>
      </c>
      <c r="F11" s="21" t="n">
        <v>5</v>
      </c>
      <c r="G11" s="21" t="n">
        <v>4</v>
      </c>
      <c r="H11" s="21" t="n">
        <v>5</v>
      </c>
      <c r="I11" s="21" t="n">
        <v>4</v>
      </c>
      <c r="J11" s="21" t="n">
        <v>5</v>
      </c>
      <c r="K11" s="21" t="n">
        <v>4</v>
      </c>
      <c r="L11" s="21" t="n">
        <v>5</v>
      </c>
      <c r="M11" s="22">
        <f>SUM(C11:L11)</f>
        <v/>
      </c>
      <c r="N11" s="23">
        <f>AVERAGE(C11:L11)</f>
        <v/>
      </c>
      <c r="O11" s="24">
        <f>IF(N11&gt;=4.5,"🟢 獨立完成",IF(N11&gt;=3.5,"🔵 口語提示",IF(N11&gt;=2.0,"🟡 肢體/部分協助","🟠 大量協助")))</f>
        <v/>
      </c>
      <c r="P11" s="25">
        <f>M11/50</f>
        <v/>
      </c>
      <c r="Q11" s="11" t="n"/>
      <c r="R11" s="11" t="n"/>
      <c r="S11" s="11" t="n"/>
    </row>
    <row r="12">
      <c r="A12" s="19" t="inlineStr">
        <is>
          <t>高齊</t>
        </is>
      </c>
      <c r="B12" s="20" t="inlineStr">
        <is>
          <t>1. 前測 (第1月)</t>
        </is>
      </c>
      <c r="C12" s="21" t="n">
        <v>2</v>
      </c>
      <c r="D12" s="21" t="n">
        <v>3</v>
      </c>
      <c r="E12" s="21" t="n">
        <v>4</v>
      </c>
      <c r="F12" s="21" t="n">
        <v>2</v>
      </c>
      <c r="G12" s="21" t="n">
        <v>3</v>
      </c>
      <c r="H12" s="21" t="n">
        <v>4</v>
      </c>
      <c r="I12" s="21" t="n">
        <v>2</v>
      </c>
      <c r="J12" s="21" t="n">
        <v>3</v>
      </c>
      <c r="K12" s="21" t="n">
        <v>4</v>
      </c>
      <c r="L12" s="21" t="n">
        <v>2</v>
      </c>
      <c r="M12" s="22">
        <f>SUM(C12:L12)</f>
        <v/>
      </c>
      <c r="N12" s="23">
        <f>AVERAGE(C12:L12)</f>
        <v/>
      </c>
      <c r="O12" s="24">
        <f>IF(N12&gt;=4.5,"🟢 獨立完成",IF(N12&gt;=3.5,"🔵 口語提示",IF(N12&gt;=2.0,"🟡 肢體/部分協助","🟠 大量協助")))</f>
        <v/>
      </c>
      <c r="P12" s="25">
        <f>M12/50</f>
        <v/>
      </c>
      <c r="Q12" s="26">
        <f>M14-M12</f>
        <v/>
      </c>
      <c r="R12" s="27">
        <f>IF(M12&gt;0, (M14-M12)/M12, (M14-M12)/50)</f>
        <v/>
      </c>
      <c r="S12" s="27">
        <f>P14-P12</f>
        <v/>
      </c>
    </row>
    <row r="13">
      <c r="A13" s="11" t="n"/>
      <c r="B13" s="28" t="inlineStr">
        <is>
          <t>2. 課堂 (第2月)</t>
        </is>
      </c>
      <c r="C13" s="21" t="n">
        <v>3</v>
      </c>
      <c r="D13" s="21" t="n">
        <v>4</v>
      </c>
      <c r="E13" s="21" t="n">
        <v>3</v>
      </c>
      <c r="F13" s="21" t="n">
        <v>4</v>
      </c>
      <c r="G13" s="21" t="n">
        <v>3</v>
      </c>
      <c r="H13" s="21" t="n">
        <v>4</v>
      </c>
      <c r="I13" s="21" t="n">
        <v>3</v>
      </c>
      <c r="J13" s="21" t="n">
        <v>4</v>
      </c>
      <c r="K13" s="21" t="n">
        <v>3</v>
      </c>
      <c r="L13" s="21" t="n">
        <v>4</v>
      </c>
      <c r="M13" s="22">
        <f>SUM(C13:L13)</f>
        <v/>
      </c>
      <c r="N13" s="23">
        <f>AVERAGE(C13:L13)</f>
        <v/>
      </c>
      <c r="O13" s="24">
        <f>IF(N13&gt;=4.5,"🟢 獨立完成",IF(N13&gt;=3.5,"🔵 口語提示",IF(N13&gt;=2.0,"🟡 肢體/部分協助","🟠 大量協助")))</f>
        <v/>
      </c>
      <c r="P13" s="25">
        <f>M13/50</f>
        <v/>
      </c>
      <c r="Q13" s="11" t="n"/>
      <c r="R13" s="11" t="n"/>
      <c r="S13" s="11" t="n"/>
    </row>
    <row r="14">
      <c r="A14" s="11" t="n"/>
      <c r="B14" s="29" t="inlineStr">
        <is>
          <t>3. 後測 (第3月)</t>
        </is>
      </c>
      <c r="C14" s="21" t="n">
        <v>4</v>
      </c>
      <c r="D14" s="21" t="n">
        <v>5</v>
      </c>
      <c r="E14" s="21" t="n">
        <v>4</v>
      </c>
      <c r="F14" s="21" t="n">
        <v>5</v>
      </c>
      <c r="G14" s="21" t="n">
        <v>4</v>
      </c>
      <c r="H14" s="21" t="n">
        <v>5</v>
      </c>
      <c r="I14" s="21" t="n">
        <v>4</v>
      </c>
      <c r="J14" s="21" t="n">
        <v>5</v>
      </c>
      <c r="K14" s="21" t="n">
        <v>4</v>
      </c>
      <c r="L14" s="21" t="n">
        <v>5</v>
      </c>
      <c r="M14" s="22">
        <f>SUM(C14:L14)</f>
        <v/>
      </c>
      <c r="N14" s="23">
        <f>AVERAGE(C14:L14)</f>
        <v/>
      </c>
      <c r="O14" s="24">
        <f>IF(N14&gt;=4.5,"🟢 獨立完成",IF(N14&gt;=3.5,"🔵 口語提示",IF(N14&gt;=2.0,"🟡 肢體/部分協助","🟠 大量協助")))</f>
        <v/>
      </c>
      <c r="P14" s="25">
        <f>M14/50</f>
        <v/>
      </c>
      <c r="Q14" s="11" t="n"/>
      <c r="R14" s="11" t="n"/>
      <c r="S14" s="11" t="n"/>
    </row>
    <row r="15">
      <c r="A15" s="19" t="inlineStr">
        <is>
          <t>芷嫻</t>
        </is>
      </c>
      <c r="B15" s="20" t="inlineStr">
        <is>
          <t>1. 前測 (第1月)</t>
        </is>
      </c>
      <c r="C15" s="21" t="n">
        <v>2</v>
      </c>
      <c r="D15" s="21" t="n">
        <v>3</v>
      </c>
      <c r="E15" s="21" t="n">
        <v>4</v>
      </c>
      <c r="F15" s="21" t="n">
        <v>2</v>
      </c>
      <c r="G15" s="21" t="n">
        <v>3</v>
      </c>
      <c r="H15" s="21" t="n">
        <v>4</v>
      </c>
      <c r="I15" s="21" t="n">
        <v>2</v>
      </c>
      <c r="J15" s="21" t="n">
        <v>3</v>
      </c>
      <c r="K15" s="21" t="n">
        <v>4</v>
      </c>
      <c r="L15" s="21" t="n">
        <v>2</v>
      </c>
      <c r="M15" s="22">
        <f>SUM(C15:L15)</f>
        <v/>
      </c>
      <c r="N15" s="23">
        <f>AVERAGE(C15:L15)</f>
        <v/>
      </c>
      <c r="O15" s="24">
        <f>IF(N15&gt;=4.5,"🟢 獨立完成",IF(N15&gt;=3.5,"🔵 口語提示",IF(N15&gt;=2.0,"🟡 肢體/部分協助","🟠 大量協助")))</f>
        <v/>
      </c>
      <c r="P15" s="25">
        <f>M15/50</f>
        <v/>
      </c>
      <c r="Q15" s="26">
        <f>M17-M15</f>
        <v/>
      </c>
      <c r="R15" s="27">
        <f>IF(M15&gt;0, (M17-M15)/M15, (M17-M15)/50)</f>
        <v/>
      </c>
      <c r="S15" s="27">
        <f>P17-P15</f>
        <v/>
      </c>
    </row>
    <row r="16">
      <c r="A16" s="11" t="n"/>
      <c r="B16" s="28" t="inlineStr">
        <is>
          <t>2. 課堂 (第2月)</t>
        </is>
      </c>
      <c r="C16" s="21" t="n">
        <v>3</v>
      </c>
      <c r="D16" s="21" t="n">
        <v>4</v>
      </c>
      <c r="E16" s="21" t="n">
        <v>3</v>
      </c>
      <c r="F16" s="21" t="n">
        <v>4</v>
      </c>
      <c r="G16" s="21" t="n">
        <v>3</v>
      </c>
      <c r="H16" s="21" t="n">
        <v>4</v>
      </c>
      <c r="I16" s="21" t="n">
        <v>3</v>
      </c>
      <c r="J16" s="21" t="n">
        <v>4</v>
      </c>
      <c r="K16" s="21" t="n">
        <v>3</v>
      </c>
      <c r="L16" s="21" t="n">
        <v>4</v>
      </c>
      <c r="M16" s="22">
        <f>SUM(C16:L16)</f>
        <v/>
      </c>
      <c r="N16" s="23">
        <f>AVERAGE(C16:L16)</f>
        <v/>
      </c>
      <c r="O16" s="24">
        <f>IF(N16&gt;=4.5,"🟢 獨立完成",IF(N16&gt;=3.5,"🔵 口語提示",IF(N16&gt;=2.0,"🟡 肢體/部分協助","🟠 大量協助")))</f>
        <v/>
      </c>
      <c r="P16" s="25">
        <f>M16/50</f>
        <v/>
      </c>
      <c r="Q16" s="11" t="n"/>
      <c r="R16" s="11" t="n"/>
      <c r="S16" s="11" t="n"/>
    </row>
    <row r="17">
      <c r="A17" s="11" t="n"/>
      <c r="B17" s="29" t="inlineStr">
        <is>
          <t>3. 後測 (第3月)</t>
        </is>
      </c>
      <c r="C17" s="21" t="n">
        <v>4</v>
      </c>
      <c r="D17" s="21" t="n">
        <v>5</v>
      </c>
      <c r="E17" s="21" t="n">
        <v>4</v>
      </c>
      <c r="F17" s="21" t="n">
        <v>5</v>
      </c>
      <c r="G17" s="21" t="n">
        <v>4</v>
      </c>
      <c r="H17" s="21" t="n">
        <v>5</v>
      </c>
      <c r="I17" s="21" t="n">
        <v>4</v>
      </c>
      <c r="J17" s="21" t="n">
        <v>5</v>
      </c>
      <c r="K17" s="21" t="n">
        <v>4</v>
      </c>
      <c r="L17" s="21" t="n">
        <v>5</v>
      </c>
      <c r="M17" s="22">
        <f>SUM(C17:L17)</f>
        <v/>
      </c>
      <c r="N17" s="23">
        <f>AVERAGE(C17:L17)</f>
        <v/>
      </c>
      <c r="O17" s="24">
        <f>IF(N17&gt;=4.5,"🟢 獨立完成",IF(N17&gt;=3.5,"🔵 口語提示",IF(N17&gt;=2.0,"🟡 肢體/部分協助","🟠 大量協助")))</f>
        <v/>
      </c>
      <c r="P17" s="25">
        <f>M17/50</f>
        <v/>
      </c>
      <c r="Q17" s="11" t="n"/>
      <c r="R17" s="11" t="n"/>
      <c r="S17" s="11" t="n"/>
    </row>
    <row r="18">
      <c r="A18" s="19" t="inlineStr">
        <is>
          <t>志豪</t>
        </is>
      </c>
      <c r="B18" s="20" t="inlineStr">
        <is>
          <t>1. 前測 (第1月)</t>
        </is>
      </c>
      <c r="C18" s="21" t="n">
        <v>2</v>
      </c>
      <c r="D18" s="21" t="n">
        <v>3</v>
      </c>
      <c r="E18" s="21" t="n">
        <v>4</v>
      </c>
      <c r="F18" s="21" t="n">
        <v>2</v>
      </c>
      <c r="G18" s="21" t="n">
        <v>3</v>
      </c>
      <c r="H18" s="21" t="n">
        <v>4</v>
      </c>
      <c r="I18" s="21" t="n">
        <v>2</v>
      </c>
      <c r="J18" s="21" t="n">
        <v>3</v>
      </c>
      <c r="K18" s="21" t="n">
        <v>4</v>
      </c>
      <c r="L18" s="21" t="n">
        <v>2</v>
      </c>
      <c r="M18" s="22">
        <f>SUM(C18:L18)</f>
        <v/>
      </c>
      <c r="N18" s="23">
        <f>AVERAGE(C18:L18)</f>
        <v/>
      </c>
      <c r="O18" s="24">
        <f>IF(N18&gt;=4.5,"🟢 獨立完成",IF(N18&gt;=3.5,"🔵 口語提示",IF(N18&gt;=2.0,"🟡 肢體/部分協助","🟠 大量協助")))</f>
        <v/>
      </c>
      <c r="P18" s="25">
        <f>M18/50</f>
        <v/>
      </c>
      <c r="Q18" s="26">
        <f>M20-M18</f>
        <v/>
      </c>
      <c r="R18" s="27">
        <f>IF(M18&gt;0, (M20-M18)/M18, (M20-M18)/50)</f>
        <v/>
      </c>
      <c r="S18" s="27">
        <f>P20-P18</f>
        <v/>
      </c>
    </row>
    <row r="19">
      <c r="A19" s="11" t="n"/>
      <c r="B19" s="28" t="inlineStr">
        <is>
          <t>2. 課堂 (第2月)</t>
        </is>
      </c>
      <c r="C19" s="21" t="n">
        <v>3</v>
      </c>
      <c r="D19" s="21" t="n">
        <v>4</v>
      </c>
      <c r="E19" s="21" t="n">
        <v>3</v>
      </c>
      <c r="F19" s="21" t="n">
        <v>4</v>
      </c>
      <c r="G19" s="21" t="n">
        <v>3</v>
      </c>
      <c r="H19" s="21" t="n">
        <v>4</v>
      </c>
      <c r="I19" s="21" t="n">
        <v>3</v>
      </c>
      <c r="J19" s="21" t="n">
        <v>4</v>
      </c>
      <c r="K19" s="21" t="n">
        <v>3</v>
      </c>
      <c r="L19" s="21" t="n">
        <v>4</v>
      </c>
      <c r="M19" s="22">
        <f>SUM(C19:L19)</f>
        <v/>
      </c>
      <c r="N19" s="23">
        <f>AVERAGE(C19:L19)</f>
        <v/>
      </c>
      <c r="O19" s="24">
        <f>IF(N19&gt;=4.5,"🟢 獨立完成",IF(N19&gt;=3.5,"🔵 口語提示",IF(N19&gt;=2.0,"🟡 肢體/部分協助","🟠 大量協助")))</f>
        <v/>
      </c>
      <c r="P19" s="25">
        <f>M19/50</f>
        <v/>
      </c>
      <c r="Q19" s="11" t="n"/>
      <c r="R19" s="11" t="n"/>
      <c r="S19" s="11" t="n"/>
    </row>
    <row r="20">
      <c r="A20" s="11" t="n"/>
      <c r="B20" s="29" t="inlineStr">
        <is>
          <t>3. 後測 (第3月)</t>
        </is>
      </c>
      <c r="C20" s="21" t="n">
        <v>4</v>
      </c>
      <c r="D20" s="21" t="n">
        <v>5</v>
      </c>
      <c r="E20" s="21" t="n">
        <v>4</v>
      </c>
      <c r="F20" s="21" t="n">
        <v>5</v>
      </c>
      <c r="G20" s="21" t="n">
        <v>4</v>
      </c>
      <c r="H20" s="21" t="n">
        <v>5</v>
      </c>
      <c r="I20" s="21" t="n">
        <v>4</v>
      </c>
      <c r="J20" s="21" t="n">
        <v>5</v>
      </c>
      <c r="K20" s="21" t="n">
        <v>4</v>
      </c>
      <c r="L20" s="21" t="n">
        <v>5</v>
      </c>
      <c r="M20" s="22">
        <f>SUM(C20:L20)</f>
        <v/>
      </c>
      <c r="N20" s="23">
        <f>AVERAGE(C20:L20)</f>
        <v/>
      </c>
      <c r="O20" s="24">
        <f>IF(N20&gt;=4.5,"🟢 獨立完成",IF(N20&gt;=3.5,"🔵 口語提示",IF(N20&gt;=2.0,"🟡 肢體/部分協助","🟠 大量協助")))</f>
        <v/>
      </c>
      <c r="P20" s="25">
        <f>M20/50</f>
        <v/>
      </c>
      <c r="Q20" s="11" t="n"/>
      <c r="R20" s="11" t="n"/>
      <c r="S20" s="11" t="n"/>
    </row>
    <row r="21">
      <c r="A21" s="19" t="inlineStr">
        <is>
          <t>雅婷</t>
        </is>
      </c>
      <c r="B21" s="20" t="inlineStr">
        <is>
          <t>1. 前測 (第1月)</t>
        </is>
      </c>
      <c r="C21" s="21" t="n">
        <v>2</v>
      </c>
      <c r="D21" s="21" t="n">
        <v>3</v>
      </c>
      <c r="E21" s="21" t="n">
        <v>4</v>
      </c>
      <c r="F21" s="21" t="n">
        <v>2</v>
      </c>
      <c r="G21" s="21" t="n">
        <v>3</v>
      </c>
      <c r="H21" s="21" t="n">
        <v>4</v>
      </c>
      <c r="I21" s="21" t="n">
        <v>2</v>
      </c>
      <c r="J21" s="21" t="n">
        <v>3</v>
      </c>
      <c r="K21" s="21" t="n">
        <v>4</v>
      </c>
      <c r="L21" s="21" t="n">
        <v>2</v>
      </c>
      <c r="M21" s="22">
        <f>SUM(C21:L21)</f>
        <v/>
      </c>
      <c r="N21" s="23">
        <f>AVERAGE(C21:L21)</f>
        <v/>
      </c>
      <c r="O21" s="24">
        <f>IF(N21&gt;=4.5,"🟢 獨立完成",IF(N21&gt;=3.5,"🔵 口語提示",IF(N21&gt;=2.0,"🟡 肢體/部分協助","🟠 大量協助")))</f>
        <v/>
      </c>
      <c r="P21" s="25">
        <f>M21/50</f>
        <v/>
      </c>
      <c r="Q21" s="26">
        <f>M23-M21</f>
        <v/>
      </c>
      <c r="R21" s="27">
        <f>IF(M21&gt;0, (M23-M21)/M21, (M23-M21)/50)</f>
        <v/>
      </c>
      <c r="S21" s="27">
        <f>P23-P21</f>
        <v/>
      </c>
    </row>
    <row r="22">
      <c r="A22" s="11" t="n"/>
      <c r="B22" s="28" t="inlineStr">
        <is>
          <t>2. 課堂 (第2月)</t>
        </is>
      </c>
      <c r="C22" s="21" t="n">
        <v>3</v>
      </c>
      <c r="D22" s="21" t="n">
        <v>4</v>
      </c>
      <c r="E22" s="21" t="n">
        <v>3</v>
      </c>
      <c r="F22" s="21" t="n">
        <v>4</v>
      </c>
      <c r="G22" s="21" t="n">
        <v>3</v>
      </c>
      <c r="H22" s="21" t="n">
        <v>4</v>
      </c>
      <c r="I22" s="21" t="n">
        <v>3</v>
      </c>
      <c r="J22" s="21" t="n">
        <v>4</v>
      </c>
      <c r="K22" s="21" t="n">
        <v>3</v>
      </c>
      <c r="L22" s="21" t="n">
        <v>4</v>
      </c>
      <c r="M22" s="22">
        <f>SUM(C22:L22)</f>
        <v/>
      </c>
      <c r="N22" s="23">
        <f>AVERAGE(C22:L22)</f>
        <v/>
      </c>
      <c r="O22" s="24">
        <f>IF(N22&gt;=4.5,"🟢 獨立完成",IF(N22&gt;=3.5,"🔵 口語提示",IF(N22&gt;=2.0,"🟡 肢體/部分協助","🟠 大量協助")))</f>
        <v/>
      </c>
      <c r="P22" s="25">
        <f>M22/50</f>
        <v/>
      </c>
      <c r="Q22" s="11" t="n"/>
      <c r="R22" s="11" t="n"/>
      <c r="S22" s="11" t="n"/>
    </row>
    <row r="23">
      <c r="A23" s="11" t="n"/>
      <c r="B23" s="29" t="inlineStr">
        <is>
          <t>3. 後測 (第3月)</t>
        </is>
      </c>
      <c r="C23" s="21" t="n">
        <v>4</v>
      </c>
      <c r="D23" s="21" t="n">
        <v>5</v>
      </c>
      <c r="E23" s="21" t="n">
        <v>4</v>
      </c>
      <c r="F23" s="21" t="n">
        <v>5</v>
      </c>
      <c r="G23" s="21" t="n">
        <v>4</v>
      </c>
      <c r="H23" s="21" t="n">
        <v>5</v>
      </c>
      <c r="I23" s="21" t="n">
        <v>4</v>
      </c>
      <c r="J23" s="21" t="n">
        <v>5</v>
      </c>
      <c r="K23" s="21" t="n">
        <v>4</v>
      </c>
      <c r="L23" s="21" t="n">
        <v>5</v>
      </c>
      <c r="M23" s="22">
        <f>SUM(C23:L23)</f>
        <v/>
      </c>
      <c r="N23" s="23">
        <f>AVERAGE(C23:L23)</f>
        <v/>
      </c>
      <c r="O23" s="24">
        <f>IF(N23&gt;=4.5,"🟢 獨立完成",IF(N23&gt;=3.5,"🔵 口語提示",IF(N23&gt;=2.0,"🟡 肢體/部分協助","🟠 大量協助")))</f>
        <v/>
      </c>
      <c r="P23" s="25">
        <f>M23/50</f>
        <v/>
      </c>
      <c r="Q23" s="11" t="n"/>
      <c r="R23" s="11" t="n"/>
      <c r="S23" s="11" t="n"/>
    </row>
    <row r="24">
      <c r="A24" s="30" t="inlineStr">
        <is>
          <t>全班平均常模</t>
        </is>
      </c>
      <c r="C24" s="31">
        <f>AVERAGE(C6:C23)</f>
        <v/>
      </c>
      <c r="D24" s="31">
        <f>AVERAGE(D6:D23)</f>
        <v/>
      </c>
      <c r="E24" s="31">
        <f>AVERAGE(E6:E23)</f>
        <v/>
      </c>
      <c r="F24" s="31">
        <f>AVERAGE(F6:F23)</f>
        <v/>
      </c>
      <c r="G24" s="31">
        <f>AVERAGE(G6:G23)</f>
        <v/>
      </c>
      <c r="H24" s="31">
        <f>AVERAGE(H6:H23)</f>
        <v/>
      </c>
      <c r="I24" s="31">
        <f>AVERAGE(I6:I23)</f>
        <v/>
      </c>
      <c r="J24" s="31">
        <f>AVERAGE(J6:J23)</f>
        <v/>
      </c>
      <c r="K24" s="31">
        <f>AVERAGE(K6:K23)</f>
        <v/>
      </c>
      <c r="L24" s="31">
        <f>AVERAGE(L6:L23)</f>
        <v/>
      </c>
      <c r="M24" s="31">
        <f>AVERAGE(M6:M23)</f>
        <v/>
      </c>
      <c r="N24" s="31">
        <f>AVERAGE(N6:N23)</f>
        <v/>
      </c>
      <c r="O24" s="32" t="inlineStr">
        <is>
          <t>-</t>
        </is>
      </c>
      <c r="P24" s="33">
        <f>AVERAGE(P6:P23)</f>
        <v/>
      </c>
      <c r="Q24" s="34">
        <f>AVERAGE(Q6:Q23)</f>
        <v/>
      </c>
      <c r="R24" s="35">
        <f>AVERAGE(R6:R23)</f>
        <v/>
      </c>
      <c r="S24" s="35">
        <f>AVERAGE(S6:S23)</f>
        <v/>
      </c>
    </row>
    <row r="27">
      <c r="A27" s="36" t="inlineStr">
        <is>
          <t>【Q3 檢核指標項目清單參照】</t>
        </is>
      </c>
    </row>
    <row r="28">
      <c r="A28" s="37" t="inlineStr">
        <is>
          <t>指標 1</t>
        </is>
      </c>
      <c r="B28" s="38" t="inlineStr">
        <is>
          <t>1. 能辨識活動區域周遭的危險物品（剪刀、熱水等）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</row>
    <row r="29">
      <c r="A29" s="37" t="inlineStr">
        <is>
          <t>指標 2</t>
        </is>
      </c>
      <c r="B29" s="38" t="inlineStr">
        <is>
          <t>2. 遇到緊急或意外狀況時能立即停止原本手邊活動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</row>
    <row r="30">
      <c r="A30" s="37" t="inlineStr">
        <is>
          <t>指標 3</t>
        </is>
      </c>
      <c r="B30" s="38" t="inlineStr">
        <is>
          <t>3. 遇到他人跌倒或發作能協助移開周遭危險物品</t>
        </is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</row>
    <row r="31">
      <c r="A31" s="37" t="inlineStr">
        <is>
          <t>指標 4</t>
        </is>
      </c>
      <c r="B31" s="38" t="inlineStr">
        <is>
          <t>4. 能知道同儕癲癇發作時「不可強行壓制或塞東西入嘴」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</row>
    <row r="32">
      <c r="A32" s="37" t="inlineStr">
        <is>
          <t>指標 5</t>
        </is>
      </c>
      <c r="B32" s="38" t="inlineStr">
        <is>
          <t>5. 能聽從指示維持現場安全與通風環境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</row>
    <row r="33">
      <c r="A33" s="37" t="inlineStr">
        <is>
          <t>指標 6</t>
        </is>
      </c>
      <c r="B33" s="38" t="inlineStr">
        <is>
          <t>6. 發生意外事件時能知道需要立刻尋求成人/支持者協助</t>
        </is>
      </c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</row>
    <row r="34">
      <c r="A34" s="37" t="inlineStr">
        <is>
          <t>指標 7</t>
        </is>
      </c>
      <c r="B34" s="38" t="inlineStr">
        <is>
          <t>7. 遇到危急事件時能大聲呼救或通知他人</t>
        </is>
      </c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</row>
    <row r="35">
      <c r="A35" s="37" t="inlineStr">
        <is>
          <t>指標 8</t>
        </is>
      </c>
      <c r="B35" s="38" t="inlineStr">
        <is>
          <t>8. 能說出或指出緊急電話「119」</t>
        </is>
      </c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</row>
    <row r="36">
      <c r="A36" s="37" t="inlineStr">
        <is>
          <t>指標 9</t>
        </is>
      </c>
      <c r="B36" s="38" t="inlineStr">
        <is>
          <t>9. 能清楚說出自己的姓名、所在位置等基本報案資訊</t>
        </is>
      </c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</row>
    <row r="37">
      <c r="A37" s="37" t="inlineStr">
        <is>
          <t>指標 10</t>
        </is>
      </c>
      <c r="B37" s="38" t="inlineStr">
        <is>
          <t>10. 遇到自己無法處理的情況能主動向外界求助</t>
        </is>
      </c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</row>
  </sheetData>
  <mergeCells count="39">
    <mergeCell ref="B35:L35"/>
    <mergeCell ref="Q9:Q11"/>
    <mergeCell ref="A21:A23"/>
    <mergeCell ref="A24:B24"/>
    <mergeCell ref="S9:S11"/>
    <mergeCell ref="A12:A14"/>
    <mergeCell ref="Q6:Q8"/>
    <mergeCell ref="A1:V2"/>
    <mergeCell ref="Q15:Q17"/>
    <mergeCell ref="S15:S17"/>
    <mergeCell ref="B31:L31"/>
    <mergeCell ref="R18:R20"/>
    <mergeCell ref="R9:R11"/>
    <mergeCell ref="A15:A17"/>
    <mergeCell ref="A9:A11"/>
    <mergeCell ref="Q18:Q20"/>
    <mergeCell ref="S18:S20"/>
    <mergeCell ref="Q12:Q14"/>
    <mergeCell ref="A4:A5"/>
    <mergeCell ref="S12:S14"/>
    <mergeCell ref="Q21:Q23"/>
    <mergeCell ref="B29:L29"/>
    <mergeCell ref="S21:S23"/>
    <mergeCell ref="B34:L34"/>
    <mergeCell ref="B37:L37"/>
    <mergeCell ref="B28:L28"/>
    <mergeCell ref="A18:A20"/>
    <mergeCell ref="A6:A8"/>
    <mergeCell ref="R6:R8"/>
    <mergeCell ref="B36:L36"/>
    <mergeCell ref="B4:B5"/>
    <mergeCell ref="B30:L30"/>
    <mergeCell ref="R12:R14"/>
    <mergeCell ref="B33:L33"/>
    <mergeCell ref="R15:R17"/>
    <mergeCell ref="R21:R23"/>
    <mergeCell ref="A3:V3"/>
    <mergeCell ref="B32:L32"/>
    <mergeCell ref="S6:S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2" t="inlineStr">
        <is>
          <t>第四季 (10~12月)：身體自主與健康自我倡議 - 學員前測／課堂平時／後測評量打分表</t>
        </is>
      </c>
    </row>
    <row r="2"/>
    <row r="3">
      <c r="A3" s="13" t="inlineStr">
        <is>
          <t>【評分提示等級】5分:可獨立完成 ｜ 4分:口語提示 ｜ 3分:肢體協助 ｜ 2分:部分協助 ｜ 1分:大量協助 ｜ 0分:無法完成 (滿分50分)</t>
        </is>
      </c>
    </row>
    <row r="4">
      <c r="A4" s="14" t="inlineStr">
        <is>
          <t>學員姓名</t>
        </is>
      </c>
      <c r="B4" s="14" t="inlineStr">
        <is>
          <t>評量階段</t>
        </is>
      </c>
      <c r="C4" s="15" t="inlineStr">
        <is>
          <t>指標 1</t>
        </is>
      </c>
      <c r="D4" s="15" t="inlineStr">
        <is>
          <t>指標 2</t>
        </is>
      </c>
      <c r="E4" s="15" t="inlineStr">
        <is>
          <t>指標 3</t>
        </is>
      </c>
      <c r="F4" s="15" t="inlineStr">
        <is>
          <t>指標 4</t>
        </is>
      </c>
      <c r="G4" s="15" t="inlineStr">
        <is>
          <t>指標 5</t>
        </is>
      </c>
      <c r="H4" s="15" t="inlineStr">
        <is>
          <t>指標 6</t>
        </is>
      </c>
      <c r="I4" s="15" t="inlineStr">
        <is>
          <t>指標 7</t>
        </is>
      </c>
      <c r="J4" s="15" t="inlineStr">
        <is>
          <t>指標 8</t>
        </is>
      </c>
      <c r="K4" s="15" t="inlineStr">
        <is>
          <t>指標 9</t>
        </is>
      </c>
      <c r="L4" s="15" t="inlineStr">
        <is>
          <t>指標 10</t>
        </is>
      </c>
      <c r="M4" s="16" t="inlineStr">
        <is>
          <t>總得分</t>
        </is>
      </c>
      <c r="N4" s="16" t="inlineStr">
        <is>
          <t>平均分</t>
        </is>
      </c>
      <c r="O4" s="16" t="inlineStr">
        <is>
          <t>學習階段判定</t>
        </is>
      </c>
      <c r="P4" s="16" t="inlineStr">
        <is>
          <t>達成率</t>
        </is>
      </c>
      <c r="Q4" s="16" t="inlineStr">
        <is>
          <t>進步分數</t>
        </is>
      </c>
      <c r="R4" s="16" t="inlineStr">
        <is>
          <t>進步率</t>
        </is>
      </c>
      <c r="S4" s="16" t="inlineStr">
        <is>
          <t>成長百分點</t>
        </is>
      </c>
    </row>
    <row r="5">
      <c r="C5" s="17" t="inlineStr">
        <is>
          <t>(滿分5)</t>
        </is>
      </c>
      <c r="D5" s="17" t="inlineStr">
        <is>
          <t>(滿分5)</t>
        </is>
      </c>
      <c r="E5" s="17" t="inlineStr">
        <is>
          <t>(滿分5)</t>
        </is>
      </c>
      <c r="F5" s="17" t="inlineStr">
        <is>
          <t>(滿分5)</t>
        </is>
      </c>
      <c r="G5" s="17" t="inlineStr">
        <is>
          <t>(滿分5)</t>
        </is>
      </c>
      <c r="H5" s="17" t="inlineStr">
        <is>
          <t>(滿分5)</t>
        </is>
      </c>
      <c r="I5" s="17" t="inlineStr">
        <is>
          <t>(滿分5)</t>
        </is>
      </c>
      <c r="J5" s="17" t="inlineStr">
        <is>
          <t>(滿分5)</t>
        </is>
      </c>
      <c r="K5" s="17" t="inlineStr">
        <is>
          <t>(滿分5)</t>
        </is>
      </c>
      <c r="L5" s="17" t="inlineStr">
        <is>
          <t>(滿分5)</t>
        </is>
      </c>
      <c r="M5" s="18" t="inlineStr">
        <is>
          <t>(滿分50)</t>
        </is>
      </c>
      <c r="N5" s="18" t="inlineStr">
        <is>
          <t>(0~5分)</t>
        </is>
      </c>
      <c r="O5" s="18" t="inlineStr">
        <is>
          <t>(等級標記)</t>
        </is>
      </c>
      <c r="P5" s="18" t="inlineStr">
        <is>
          <t>(%)</t>
        </is>
      </c>
      <c r="Q5" s="18" t="inlineStr">
        <is>
          <t>(後-前)</t>
        </is>
      </c>
      <c r="R5" s="18" t="inlineStr">
        <is>
          <t>(%)</t>
        </is>
      </c>
      <c r="S5" s="18" t="inlineStr">
        <is>
          <t>(%pt)</t>
        </is>
      </c>
    </row>
    <row r="6">
      <c r="A6" s="19" t="inlineStr">
        <is>
          <t>宇彤</t>
        </is>
      </c>
      <c r="B6" s="20" t="inlineStr">
        <is>
          <t>1. 前測 (第1月)</t>
        </is>
      </c>
      <c r="C6" s="21" t="n">
        <v>2</v>
      </c>
      <c r="D6" s="21" t="n">
        <v>3</v>
      </c>
      <c r="E6" s="21" t="n">
        <v>4</v>
      </c>
      <c r="F6" s="21" t="n">
        <v>2</v>
      </c>
      <c r="G6" s="21" t="n">
        <v>3</v>
      </c>
      <c r="H6" s="21" t="n">
        <v>4</v>
      </c>
      <c r="I6" s="21" t="n">
        <v>2</v>
      </c>
      <c r="J6" s="21" t="n">
        <v>3</v>
      </c>
      <c r="K6" s="21" t="n">
        <v>4</v>
      </c>
      <c r="L6" s="21" t="n">
        <v>2</v>
      </c>
      <c r="M6" s="22">
        <f>SUM(C6:L6)</f>
        <v/>
      </c>
      <c r="N6" s="23">
        <f>AVERAGE(C6:L6)</f>
        <v/>
      </c>
      <c r="O6" s="24">
        <f>IF(N6&gt;=4.5,"🟢 獨立完成",IF(N6&gt;=3.5,"🔵 口語提示",IF(N6&gt;=2.0,"🟡 肢體/部分協助","🟠 大量協助")))</f>
        <v/>
      </c>
      <c r="P6" s="25">
        <f>M6/50</f>
        <v/>
      </c>
      <c r="Q6" s="26">
        <f>M8-M6</f>
        <v/>
      </c>
      <c r="R6" s="27">
        <f>IF(M6&gt;0, (M8-M6)/M6, (M8-M6)/50)</f>
        <v/>
      </c>
      <c r="S6" s="27">
        <f>P8-P6</f>
        <v/>
      </c>
    </row>
    <row r="7">
      <c r="A7" s="11" t="n"/>
      <c r="B7" s="28" t="inlineStr">
        <is>
          <t>2. 課堂 (第2月)</t>
        </is>
      </c>
      <c r="C7" s="21" t="n">
        <v>3</v>
      </c>
      <c r="D7" s="21" t="n">
        <v>4</v>
      </c>
      <c r="E7" s="21" t="n">
        <v>3</v>
      </c>
      <c r="F7" s="21" t="n">
        <v>4</v>
      </c>
      <c r="G7" s="21" t="n">
        <v>3</v>
      </c>
      <c r="H7" s="21" t="n">
        <v>4</v>
      </c>
      <c r="I7" s="21" t="n">
        <v>3</v>
      </c>
      <c r="J7" s="21" t="n">
        <v>4</v>
      </c>
      <c r="K7" s="21" t="n">
        <v>3</v>
      </c>
      <c r="L7" s="21" t="n">
        <v>4</v>
      </c>
      <c r="M7" s="22">
        <f>SUM(C7:L7)</f>
        <v/>
      </c>
      <c r="N7" s="23">
        <f>AVERAGE(C7:L7)</f>
        <v/>
      </c>
      <c r="O7" s="24">
        <f>IF(N7&gt;=4.5,"🟢 獨立完成",IF(N7&gt;=3.5,"🔵 口語提示",IF(N7&gt;=2.0,"🟡 肢體/部分協助","🟠 大量協助")))</f>
        <v/>
      </c>
      <c r="P7" s="25">
        <f>M7/50</f>
        <v/>
      </c>
      <c r="Q7" s="11" t="n"/>
      <c r="R7" s="11" t="n"/>
      <c r="S7" s="11" t="n"/>
    </row>
    <row r="8">
      <c r="A8" s="11" t="n"/>
      <c r="B8" s="29" t="inlineStr">
        <is>
          <t>3. 後測 (第3月)</t>
        </is>
      </c>
      <c r="C8" s="21" t="n">
        <v>4</v>
      </c>
      <c r="D8" s="21" t="n">
        <v>5</v>
      </c>
      <c r="E8" s="21" t="n">
        <v>4</v>
      </c>
      <c r="F8" s="21" t="n">
        <v>5</v>
      </c>
      <c r="G8" s="21" t="n">
        <v>4</v>
      </c>
      <c r="H8" s="21" t="n">
        <v>5</v>
      </c>
      <c r="I8" s="21" t="n">
        <v>4</v>
      </c>
      <c r="J8" s="21" t="n">
        <v>5</v>
      </c>
      <c r="K8" s="21" t="n">
        <v>4</v>
      </c>
      <c r="L8" s="21" t="n">
        <v>5</v>
      </c>
      <c r="M8" s="22">
        <f>SUM(C8:L8)</f>
        <v/>
      </c>
      <c r="N8" s="23">
        <f>AVERAGE(C8:L8)</f>
        <v/>
      </c>
      <c r="O8" s="24">
        <f>IF(N8&gt;=4.5,"🟢 獨立完成",IF(N8&gt;=3.5,"🔵 口語提示",IF(N8&gt;=2.0,"🟡 肢體/部分協助","🟠 大量協助")))</f>
        <v/>
      </c>
      <c r="P8" s="25">
        <f>M8/50</f>
        <v/>
      </c>
      <c r="Q8" s="11" t="n"/>
      <c r="R8" s="11" t="n"/>
      <c r="S8" s="11" t="n"/>
    </row>
    <row r="9">
      <c r="A9" s="19" t="inlineStr">
        <is>
          <t>育萱</t>
        </is>
      </c>
      <c r="B9" s="20" t="inlineStr">
        <is>
          <t>1. 前測 (第1月)</t>
        </is>
      </c>
      <c r="C9" s="21" t="n">
        <v>2</v>
      </c>
      <c r="D9" s="21" t="n">
        <v>3</v>
      </c>
      <c r="E9" s="21" t="n">
        <v>4</v>
      </c>
      <c r="F9" s="21" t="n">
        <v>2</v>
      </c>
      <c r="G9" s="21" t="n">
        <v>3</v>
      </c>
      <c r="H9" s="21" t="n">
        <v>4</v>
      </c>
      <c r="I9" s="21" t="n">
        <v>2</v>
      </c>
      <c r="J9" s="21" t="n">
        <v>3</v>
      </c>
      <c r="K9" s="21" t="n">
        <v>4</v>
      </c>
      <c r="L9" s="21" t="n">
        <v>2</v>
      </c>
      <c r="M9" s="22">
        <f>SUM(C9:L9)</f>
        <v/>
      </c>
      <c r="N9" s="23">
        <f>AVERAGE(C9:L9)</f>
        <v/>
      </c>
      <c r="O9" s="24">
        <f>IF(N9&gt;=4.5,"🟢 獨立完成",IF(N9&gt;=3.5,"🔵 口語提示",IF(N9&gt;=2.0,"🟡 肢體/部分協助","🟠 大量協助")))</f>
        <v/>
      </c>
      <c r="P9" s="25">
        <f>M9/50</f>
        <v/>
      </c>
      <c r="Q9" s="26">
        <f>M11-M9</f>
        <v/>
      </c>
      <c r="R9" s="27">
        <f>IF(M9&gt;0, (M11-M9)/M9, (M11-M9)/50)</f>
        <v/>
      </c>
      <c r="S9" s="27">
        <f>P11-P9</f>
        <v/>
      </c>
    </row>
    <row r="10">
      <c r="A10" s="11" t="n"/>
      <c r="B10" s="28" t="inlineStr">
        <is>
          <t>2. 課堂 (第2月)</t>
        </is>
      </c>
      <c r="C10" s="21" t="n">
        <v>3</v>
      </c>
      <c r="D10" s="21" t="n">
        <v>4</v>
      </c>
      <c r="E10" s="21" t="n">
        <v>3</v>
      </c>
      <c r="F10" s="21" t="n">
        <v>4</v>
      </c>
      <c r="G10" s="21" t="n">
        <v>3</v>
      </c>
      <c r="H10" s="21" t="n">
        <v>4</v>
      </c>
      <c r="I10" s="21" t="n">
        <v>3</v>
      </c>
      <c r="J10" s="21" t="n">
        <v>4</v>
      </c>
      <c r="K10" s="21" t="n">
        <v>3</v>
      </c>
      <c r="L10" s="21" t="n">
        <v>4</v>
      </c>
      <c r="M10" s="22">
        <f>SUM(C10:L10)</f>
        <v/>
      </c>
      <c r="N10" s="23">
        <f>AVERAGE(C10:L10)</f>
        <v/>
      </c>
      <c r="O10" s="24">
        <f>IF(N10&gt;=4.5,"🟢 獨立完成",IF(N10&gt;=3.5,"🔵 口語提示",IF(N10&gt;=2.0,"🟡 肢體/部分協助","🟠 大量協助")))</f>
        <v/>
      </c>
      <c r="P10" s="25">
        <f>M10/50</f>
        <v/>
      </c>
      <c r="Q10" s="11" t="n"/>
      <c r="R10" s="11" t="n"/>
      <c r="S10" s="11" t="n"/>
    </row>
    <row r="11">
      <c r="A11" s="11" t="n"/>
      <c r="B11" s="29" t="inlineStr">
        <is>
          <t>3. 後測 (第3月)</t>
        </is>
      </c>
      <c r="C11" s="21" t="n">
        <v>4</v>
      </c>
      <c r="D11" s="21" t="n">
        <v>5</v>
      </c>
      <c r="E11" s="21" t="n">
        <v>4</v>
      </c>
      <c r="F11" s="21" t="n">
        <v>5</v>
      </c>
      <c r="G11" s="21" t="n">
        <v>4</v>
      </c>
      <c r="H11" s="21" t="n">
        <v>5</v>
      </c>
      <c r="I11" s="21" t="n">
        <v>4</v>
      </c>
      <c r="J11" s="21" t="n">
        <v>5</v>
      </c>
      <c r="K11" s="21" t="n">
        <v>4</v>
      </c>
      <c r="L11" s="21" t="n">
        <v>5</v>
      </c>
      <c r="M11" s="22">
        <f>SUM(C11:L11)</f>
        <v/>
      </c>
      <c r="N11" s="23">
        <f>AVERAGE(C11:L11)</f>
        <v/>
      </c>
      <c r="O11" s="24">
        <f>IF(N11&gt;=4.5,"🟢 獨立完成",IF(N11&gt;=3.5,"🔵 口語提示",IF(N11&gt;=2.0,"🟡 肢體/部分協助","🟠 大量協助")))</f>
        <v/>
      </c>
      <c r="P11" s="25">
        <f>M11/50</f>
        <v/>
      </c>
      <c r="Q11" s="11" t="n"/>
      <c r="R11" s="11" t="n"/>
      <c r="S11" s="11" t="n"/>
    </row>
    <row r="12">
      <c r="A12" s="19" t="inlineStr">
        <is>
          <t>高齊</t>
        </is>
      </c>
      <c r="B12" s="20" t="inlineStr">
        <is>
          <t>1. 前測 (第1月)</t>
        </is>
      </c>
      <c r="C12" s="21" t="n">
        <v>2</v>
      </c>
      <c r="D12" s="21" t="n">
        <v>3</v>
      </c>
      <c r="E12" s="21" t="n">
        <v>4</v>
      </c>
      <c r="F12" s="21" t="n">
        <v>2</v>
      </c>
      <c r="G12" s="21" t="n">
        <v>3</v>
      </c>
      <c r="H12" s="21" t="n">
        <v>4</v>
      </c>
      <c r="I12" s="21" t="n">
        <v>2</v>
      </c>
      <c r="J12" s="21" t="n">
        <v>3</v>
      </c>
      <c r="K12" s="21" t="n">
        <v>4</v>
      </c>
      <c r="L12" s="21" t="n">
        <v>2</v>
      </c>
      <c r="M12" s="22">
        <f>SUM(C12:L12)</f>
        <v/>
      </c>
      <c r="N12" s="23">
        <f>AVERAGE(C12:L12)</f>
        <v/>
      </c>
      <c r="O12" s="24">
        <f>IF(N12&gt;=4.5,"🟢 獨立完成",IF(N12&gt;=3.5,"🔵 口語提示",IF(N12&gt;=2.0,"🟡 肢體/部分協助","🟠 大量協助")))</f>
        <v/>
      </c>
      <c r="P12" s="25">
        <f>M12/50</f>
        <v/>
      </c>
      <c r="Q12" s="26">
        <f>M14-M12</f>
        <v/>
      </c>
      <c r="R12" s="27">
        <f>IF(M12&gt;0, (M14-M12)/M12, (M14-M12)/50)</f>
        <v/>
      </c>
      <c r="S12" s="27">
        <f>P14-P12</f>
        <v/>
      </c>
    </row>
    <row r="13">
      <c r="A13" s="11" t="n"/>
      <c r="B13" s="28" t="inlineStr">
        <is>
          <t>2. 課堂 (第2月)</t>
        </is>
      </c>
      <c r="C13" s="21" t="n">
        <v>3</v>
      </c>
      <c r="D13" s="21" t="n">
        <v>4</v>
      </c>
      <c r="E13" s="21" t="n">
        <v>3</v>
      </c>
      <c r="F13" s="21" t="n">
        <v>4</v>
      </c>
      <c r="G13" s="21" t="n">
        <v>3</v>
      </c>
      <c r="H13" s="21" t="n">
        <v>4</v>
      </c>
      <c r="I13" s="21" t="n">
        <v>3</v>
      </c>
      <c r="J13" s="21" t="n">
        <v>4</v>
      </c>
      <c r="K13" s="21" t="n">
        <v>3</v>
      </c>
      <c r="L13" s="21" t="n">
        <v>4</v>
      </c>
      <c r="M13" s="22">
        <f>SUM(C13:L13)</f>
        <v/>
      </c>
      <c r="N13" s="23">
        <f>AVERAGE(C13:L13)</f>
        <v/>
      </c>
      <c r="O13" s="24">
        <f>IF(N13&gt;=4.5,"🟢 獨立完成",IF(N13&gt;=3.5,"🔵 口語提示",IF(N13&gt;=2.0,"🟡 肢體/部分協助","🟠 大量協助")))</f>
        <v/>
      </c>
      <c r="P13" s="25">
        <f>M13/50</f>
        <v/>
      </c>
      <c r="Q13" s="11" t="n"/>
      <c r="R13" s="11" t="n"/>
      <c r="S13" s="11" t="n"/>
    </row>
    <row r="14">
      <c r="A14" s="11" t="n"/>
      <c r="B14" s="29" t="inlineStr">
        <is>
          <t>3. 後測 (第3月)</t>
        </is>
      </c>
      <c r="C14" s="21" t="n">
        <v>4</v>
      </c>
      <c r="D14" s="21" t="n">
        <v>5</v>
      </c>
      <c r="E14" s="21" t="n">
        <v>4</v>
      </c>
      <c r="F14" s="21" t="n">
        <v>5</v>
      </c>
      <c r="G14" s="21" t="n">
        <v>4</v>
      </c>
      <c r="H14" s="21" t="n">
        <v>5</v>
      </c>
      <c r="I14" s="21" t="n">
        <v>4</v>
      </c>
      <c r="J14" s="21" t="n">
        <v>5</v>
      </c>
      <c r="K14" s="21" t="n">
        <v>4</v>
      </c>
      <c r="L14" s="21" t="n">
        <v>5</v>
      </c>
      <c r="M14" s="22">
        <f>SUM(C14:L14)</f>
        <v/>
      </c>
      <c r="N14" s="23">
        <f>AVERAGE(C14:L14)</f>
        <v/>
      </c>
      <c r="O14" s="24">
        <f>IF(N14&gt;=4.5,"🟢 獨立完成",IF(N14&gt;=3.5,"🔵 口語提示",IF(N14&gt;=2.0,"🟡 肢體/部分協助","🟠 大量協助")))</f>
        <v/>
      </c>
      <c r="P14" s="25">
        <f>M14/50</f>
        <v/>
      </c>
      <c r="Q14" s="11" t="n"/>
      <c r="R14" s="11" t="n"/>
      <c r="S14" s="11" t="n"/>
    </row>
    <row r="15">
      <c r="A15" s="19" t="inlineStr">
        <is>
          <t>芷嫻</t>
        </is>
      </c>
      <c r="B15" s="20" t="inlineStr">
        <is>
          <t>1. 前測 (第1月)</t>
        </is>
      </c>
      <c r="C15" s="21" t="n">
        <v>2</v>
      </c>
      <c r="D15" s="21" t="n">
        <v>3</v>
      </c>
      <c r="E15" s="21" t="n">
        <v>4</v>
      </c>
      <c r="F15" s="21" t="n">
        <v>2</v>
      </c>
      <c r="G15" s="21" t="n">
        <v>3</v>
      </c>
      <c r="H15" s="21" t="n">
        <v>4</v>
      </c>
      <c r="I15" s="21" t="n">
        <v>2</v>
      </c>
      <c r="J15" s="21" t="n">
        <v>3</v>
      </c>
      <c r="K15" s="21" t="n">
        <v>4</v>
      </c>
      <c r="L15" s="21" t="n">
        <v>2</v>
      </c>
      <c r="M15" s="22">
        <f>SUM(C15:L15)</f>
        <v/>
      </c>
      <c r="N15" s="23">
        <f>AVERAGE(C15:L15)</f>
        <v/>
      </c>
      <c r="O15" s="24">
        <f>IF(N15&gt;=4.5,"🟢 獨立完成",IF(N15&gt;=3.5,"🔵 口語提示",IF(N15&gt;=2.0,"🟡 肢體/部分協助","🟠 大量協助")))</f>
        <v/>
      </c>
      <c r="P15" s="25">
        <f>M15/50</f>
        <v/>
      </c>
      <c r="Q15" s="26">
        <f>M17-M15</f>
        <v/>
      </c>
      <c r="R15" s="27">
        <f>IF(M15&gt;0, (M17-M15)/M15, (M17-M15)/50)</f>
        <v/>
      </c>
      <c r="S15" s="27">
        <f>P17-P15</f>
        <v/>
      </c>
    </row>
    <row r="16">
      <c r="A16" s="11" t="n"/>
      <c r="B16" s="28" t="inlineStr">
        <is>
          <t>2. 課堂 (第2月)</t>
        </is>
      </c>
      <c r="C16" s="21" t="n">
        <v>3</v>
      </c>
      <c r="D16" s="21" t="n">
        <v>4</v>
      </c>
      <c r="E16" s="21" t="n">
        <v>3</v>
      </c>
      <c r="F16" s="21" t="n">
        <v>4</v>
      </c>
      <c r="G16" s="21" t="n">
        <v>3</v>
      </c>
      <c r="H16" s="21" t="n">
        <v>4</v>
      </c>
      <c r="I16" s="21" t="n">
        <v>3</v>
      </c>
      <c r="J16" s="21" t="n">
        <v>4</v>
      </c>
      <c r="K16" s="21" t="n">
        <v>3</v>
      </c>
      <c r="L16" s="21" t="n">
        <v>4</v>
      </c>
      <c r="M16" s="22">
        <f>SUM(C16:L16)</f>
        <v/>
      </c>
      <c r="N16" s="23">
        <f>AVERAGE(C16:L16)</f>
        <v/>
      </c>
      <c r="O16" s="24">
        <f>IF(N16&gt;=4.5,"🟢 獨立完成",IF(N16&gt;=3.5,"🔵 口語提示",IF(N16&gt;=2.0,"🟡 肢體/部分協助","🟠 大量協助")))</f>
        <v/>
      </c>
      <c r="P16" s="25">
        <f>M16/50</f>
        <v/>
      </c>
      <c r="Q16" s="11" t="n"/>
      <c r="R16" s="11" t="n"/>
      <c r="S16" s="11" t="n"/>
    </row>
    <row r="17">
      <c r="A17" s="11" t="n"/>
      <c r="B17" s="29" t="inlineStr">
        <is>
          <t>3. 後測 (第3月)</t>
        </is>
      </c>
      <c r="C17" s="21" t="n">
        <v>4</v>
      </c>
      <c r="D17" s="21" t="n">
        <v>5</v>
      </c>
      <c r="E17" s="21" t="n">
        <v>4</v>
      </c>
      <c r="F17" s="21" t="n">
        <v>5</v>
      </c>
      <c r="G17" s="21" t="n">
        <v>4</v>
      </c>
      <c r="H17" s="21" t="n">
        <v>5</v>
      </c>
      <c r="I17" s="21" t="n">
        <v>4</v>
      </c>
      <c r="J17" s="21" t="n">
        <v>5</v>
      </c>
      <c r="K17" s="21" t="n">
        <v>4</v>
      </c>
      <c r="L17" s="21" t="n">
        <v>5</v>
      </c>
      <c r="M17" s="22">
        <f>SUM(C17:L17)</f>
        <v/>
      </c>
      <c r="N17" s="23">
        <f>AVERAGE(C17:L17)</f>
        <v/>
      </c>
      <c r="O17" s="24">
        <f>IF(N17&gt;=4.5,"🟢 獨立完成",IF(N17&gt;=3.5,"🔵 口語提示",IF(N17&gt;=2.0,"🟡 肢體/部分協助","🟠 大量協助")))</f>
        <v/>
      </c>
      <c r="P17" s="25">
        <f>M17/50</f>
        <v/>
      </c>
      <c r="Q17" s="11" t="n"/>
      <c r="R17" s="11" t="n"/>
      <c r="S17" s="11" t="n"/>
    </row>
    <row r="18">
      <c r="A18" s="19" t="inlineStr">
        <is>
          <t>志豪</t>
        </is>
      </c>
      <c r="B18" s="20" t="inlineStr">
        <is>
          <t>1. 前測 (第1月)</t>
        </is>
      </c>
      <c r="C18" s="21" t="n">
        <v>2</v>
      </c>
      <c r="D18" s="21" t="n">
        <v>3</v>
      </c>
      <c r="E18" s="21" t="n">
        <v>4</v>
      </c>
      <c r="F18" s="21" t="n">
        <v>2</v>
      </c>
      <c r="G18" s="21" t="n">
        <v>3</v>
      </c>
      <c r="H18" s="21" t="n">
        <v>4</v>
      </c>
      <c r="I18" s="21" t="n">
        <v>2</v>
      </c>
      <c r="J18" s="21" t="n">
        <v>3</v>
      </c>
      <c r="K18" s="21" t="n">
        <v>4</v>
      </c>
      <c r="L18" s="21" t="n">
        <v>2</v>
      </c>
      <c r="M18" s="22">
        <f>SUM(C18:L18)</f>
        <v/>
      </c>
      <c r="N18" s="23">
        <f>AVERAGE(C18:L18)</f>
        <v/>
      </c>
      <c r="O18" s="24">
        <f>IF(N18&gt;=4.5,"🟢 獨立完成",IF(N18&gt;=3.5,"🔵 口語提示",IF(N18&gt;=2.0,"🟡 肢體/部分協助","🟠 大量協助")))</f>
        <v/>
      </c>
      <c r="P18" s="25">
        <f>M18/50</f>
        <v/>
      </c>
      <c r="Q18" s="26">
        <f>M20-M18</f>
        <v/>
      </c>
      <c r="R18" s="27">
        <f>IF(M18&gt;0, (M20-M18)/M18, (M20-M18)/50)</f>
        <v/>
      </c>
      <c r="S18" s="27">
        <f>P20-P18</f>
        <v/>
      </c>
    </row>
    <row r="19">
      <c r="A19" s="11" t="n"/>
      <c r="B19" s="28" t="inlineStr">
        <is>
          <t>2. 課堂 (第2月)</t>
        </is>
      </c>
      <c r="C19" s="21" t="n">
        <v>3</v>
      </c>
      <c r="D19" s="21" t="n">
        <v>4</v>
      </c>
      <c r="E19" s="21" t="n">
        <v>3</v>
      </c>
      <c r="F19" s="21" t="n">
        <v>4</v>
      </c>
      <c r="G19" s="21" t="n">
        <v>3</v>
      </c>
      <c r="H19" s="21" t="n">
        <v>4</v>
      </c>
      <c r="I19" s="21" t="n">
        <v>3</v>
      </c>
      <c r="J19" s="21" t="n">
        <v>4</v>
      </c>
      <c r="K19" s="21" t="n">
        <v>3</v>
      </c>
      <c r="L19" s="21" t="n">
        <v>4</v>
      </c>
      <c r="M19" s="22">
        <f>SUM(C19:L19)</f>
        <v/>
      </c>
      <c r="N19" s="23">
        <f>AVERAGE(C19:L19)</f>
        <v/>
      </c>
      <c r="O19" s="24">
        <f>IF(N19&gt;=4.5,"🟢 獨立完成",IF(N19&gt;=3.5,"🔵 口語提示",IF(N19&gt;=2.0,"🟡 肢體/部分協助","🟠 大量協助")))</f>
        <v/>
      </c>
      <c r="P19" s="25">
        <f>M19/50</f>
        <v/>
      </c>
      <c r="Q19" s="11" t="n"/>
      <c r="R19" s="11" t="n"/>
      <c r="S19" s="11" t="n"/>
    </row>
    <row r="20">
      <c r="A20" s="11" t="n"/>
      <c r="B20" s="29" t="inlineStr">
        <is>
          <t>3. 後測 (第3月)</t>
        </is>
      </c>
      <c r="C20" s="21" t="n">
        <v>4</v>
      </c>
      <c r="D20" s="21" t="n">
        <v>5</v>
      </c>
      <c r="E20" s="21" t="n">
        <v>4</v>
      </c>
      <c r="F20" s="21" t="n">
        <v>5</v>
      </c>
      <c r="G20" s="21" t="n">
        <v>4</v>
      </c>
      <c r="H20" s="21" t="n">
        <v>5</v>
      </c>
      <c r="I20" s="21" t="n">
        <v>4</v>
      </c>
      <c r="J20" s="21" t="n">
        <v>5</v>
      </c>
      <c r="K20" s="21" t="n">
        <v>4</v>
      </c>
      <c r="L20" s="21" t="n">
        <v>5</v>
      </c>
      <c r="M20" s="22">
        <f>SUM(C20:L20)</f>
        <v/>
      </c>
      <c r="N20" s="23">
        <f>AVERAGE(C20:L20)</f>
        <v/>
      </c>
      <c r="O20" s="24">
        <f>IF(N20&gt;=4.5,"🟢 獨立完成",IF(N20&gt;=3.5,"🔵 口語提示",IF(N20&gt;=2.0,"🟡 肢體/部分協助","🟠 大量協助")))</f>
        <v/>
      </c>
      <c r="P20" s="25">
        <f>M20/50</f>
        <v/>
      </c>
      <c r="Q20" s="11" t="n"/>
      <c r="R20" s="11" t="n"/>
      <c r="S20" s="11" t="n"/>
    </row>
    <row r="21">
      <c r="A21" s="19" t="inlineStr">
        <is>
          <t>雅婷</t>
        </is>
      </c>
      <c r="B21" s="20" t="inlineStr">
        <is>
          <t>1. 前測 (第1月)</t>
        </is>
      </c>
      <c r="C21" s="21" t="n">
        <v>2</v>
      </c>
      <c r="D21" s="21" t="n">
        <v>3</v>
      </c>
      <c r="E21" s="21" t="n">
        <v>4</v>
      </c>
      <c r="F21" s="21" t="n">
        <v>2</v>
      </c>
      <c r="G21" s="21" t="n">
        <v>3</v>
      </c>
      <c r="H21" s="21" t="n">
        <v>4</v>
      </c>
      <c r="I21" s="21" t="n">
        <v>2</v>
      </c>
      <c r="J21" s="21" t="n">
        <v>3</v>
      </c>
      <c r="K21" s="21" t="n">
        <v>4</v>
      </c>
      <c r="L21" s="21" t="n">
        <v>2</v>
      </c>
      <c r="M21" s="22">
        <f>SUM(C21:L21)</f>
        <v/>
      </c>
      <c r="N21" s="23">
        <f>AVERAGE(C21:L21)</f>
        <v/>
      </c>
      <c r="O21" s="24">
        <f>IF(N21&gt;=4.5,"🟢 獨立完成",IF(N21&gt;=3.5,"🔵 口語提示",IF(N21&gt;=2.0,"🟡 肢體/部分協助","🟠 大量協助")))</f>
        <v/>
      </c>
      <c r="P21" s="25">
        <f>M21/50</f>
        <v/>
      </c>
      <c r="Q21" s="26">
        <f>M23-M21</f>
        <v/>
      </c>
      <c r="R21" s="27">
        <f>IF(M21&gt;0, (M23-M21)/M21, (M23-M21)/50)</f>
        <v/>
      </c>
      <c r="S21" s="27">
        <f>P23-P21</f>
        <v/>
      </c>
    </row>
    <row r="22">
      <c r="A22" s="11" t="n"/>
      <c r="B22" s="28" t="inlineStr">
        <is>
          <t>2. 課堂 (第2月)</t>
        </is>
      </c>
      <c r="C22" s="21" t="n">
        <v>3</v>
      </c>
      <c r="D22" s="21" t="n">
        <v>4</v>
      </c>
      <c r="E22" s="21" t="n">
        <v>3</v>
      </c>
      <c r="F22" s="21" t="n">
        <v>4</v>
      </c>
      <c r="G22" s="21" t="n">
        <v>3</v>
      </c>
      <c r="H22" s="21" t="n">
        <v>4</v>
      </c>
      <c r="I22" s="21" t="n">
        <v>3</v>
      </c>
      <c r="J22" s="21" t="n">
        <v>4</v>
      </c>
      <c r="K22" s="21" t="n">
        <v>3</v>
      </c>
      <c r="L22" s="21" t="n">
        <v>4</v>
      </c>
      <c r="M22" s="22">
        <f>SUM(C22:L22)</f>
        <v/>
      </c>
      <c r="N22" s="23">
        <f>AVERAGE(C22:L22)</f>
        <v/>
      </c>
      <c r="O22" s="24">
        <f>IF(N22&gt;=4.5,"🟢 獨立完成",IF(N22&gt;=3.5,"🔵 口語提示",IF(N22&gt;=2.0,"🟡 肢體/部分協助","🟠 大量協助")))</f>
        <v/>
      </c>
      <c r="P22" s="25">
        <f>M22/50</f>
        <v/>
      </c>
      <c r="Q22" s="11" t="n"/>
      <c r="R22" s="11" t="n"/>
      <c r="S22" s="11" t="n"/>
    </row>
    <row r="23">
      <c r="A23" s="11" t="n"/>
      <c r="B23" s="29" t="inlineStr">
        <is>
          <t>3. 後測 (第3月)</t>
        </is>
      </c>
      <c r="C23" s="21" t="n">
        <v>4</v>
      </c>
      <c r="D23" s="21" t="n">
        <v>5</v>
      </c>
      <c r="E23" s="21" t="n">
        <v>4</v>
      </c>
      <c r="F23" s="21" t="n">
        <v>5</v>
      </c>
      <c r="G23" s="21" t="n">
        <v>4</v>
      </c>
      <c r="H23" s="21" t="n">
        <v>5</v>
      </c>
      <c r="I23" s="21" t="n">
        <v>4</v>
      </c>
      <c r="J23" s="21" t="n">
        <v>5</v>
      </c>
      <c r="K23" s="21" t="n">
        <v>4</v>
      </c>
      <c r="L23" s="21" t="n">
        <v>5</v>
      </c>
      <c r="M23" s="22">
        <f>SUM(C23:L23)</f>
        <v/>
      </c>
      <c r="N23" s="23">
        <f>AVERAGE(C23:L23)</f>
        <v/>
      </c>
      <c r="O23" s="24">
        <f>IF(N23&gt;=4.5,"🟢 獨立完成",IF(N23&gt;=3.5,"🔵 口語提示",IF(N23&gt;=2.0,"🟡 肢體/部分協助","🟠 大量協助")))</f>
        <v/>
      </c>
      <c r="P23" s="25">
        <f>M23/50</f>
        <v/>
      </c>
      <c r="Q23" s="11" t="n"/>
      <c r="R23" s="11" t="n"/>
      <c r="S23" s="11" t="n"/>
    </row>
    <row r="24">
      <c r="A24" s="30" t="inlineStr">
        <is>
          <t>全班平均常模</t>
        </is>
      </c>
      <c r="C24" s="31">
        <f>AVERAGE(C6:C23)</f>
        <v/>
      </c>
      <c r="D24" s="31">
        <f>AVERAGE(D6:D23)</f>
        <v/>
      </c>
      <c r="E24" s="31">
        <f>AVERAGE(E6:E23)</f>
        <v/>
      </c>
      <c r="F24" s="31">
        <f>AVERAGE(F6:F23)</f>
        <v/>
      </c>
      <c r="G24" s="31">
        <f>AVERAGE(G6:G23)</f>
        <v/>
      </c>
      <c r="H24" s="31">
        <f>AVERAGE(H6:H23)</f>
        <v/>
      </c>
      <c r="I24" s="31">
        <f>AVERAGE(I6:I23)</f>
        <v/>
      </c>
      <c r="J24" s="31">
        <f>AVERAGE(J6:J23)</f>
        <v/>
      </c>
      <c r="K24" s="31">
        <f>AVERAGE(K6:K23)</f>
        <v/>
      </c>
      <c r="L24" s="31">
        <f>AVERAGE(L6:L23)</f>
        <v/>
      </c>
      <c r="M24" s="31">
        <f>AVERAGE(M6:M23)</f>
        <v/>
      </c>
      <c r="N24" s="31">
        <f>AVERAGE(N6:N23)</f>
        <v/>
      </c>
      <c r="O24" s="32" t="inlineStr">
        <is>
          <t>-</t>
        </is>
      </c>
      <c r="P24" s="33">
        <f>AVERAGE(P6:P23)</f>
        <v/>
      </c>
      <c r="Q24" s="34">
        <f>AVERAGE(Q6:Q23)</f>
        <v/>
      </c>
      <c r="R24" s="35">
        <f>AVERAGE(R6:R23)</f>
        <v/>
      </c>
      <c r="S24" s="35">
        <f>AVERAGE(S6:S23)</f>
        <v/>
      </c>
    </row>
    <row r="27">
      <c r="A27" s="36" t="inlineStr">
        <is>
          <t>【Q4 檢核指標項目清單參照】</t>
        </is>
      </c>
    </row>
    <row r="28">
      <c r="A28" s="37" t="inlineStr">
        <is>
          <t>指標 1</t>
        </is>
      </c>
      <c r="B28" s="38" t="inlineStr">
        <is>
          <t>1. 能辨識並察覺自己的身體出現不舒服或異常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</row>
    <row r="29">
      <c r="A29" s="37" t="inlineStr">
        <is>
          <t>指標 2</t>
        </is>
      </c>
      <c r="B29" s="38" t="inlineStr">
        <is>
          <t>2. 能準確指出或觸摸自己不舒服的身體部位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</row>
    <row r="30">
      <c r="A30" s="37" t="inlineStr">
        <is>
          <t>指標 3</t>
        </is>
      </c>
      <c r="B30" s="38" t="inlineStr">
        <is>
          <t>3. 能用言語或圖卡表達疼痛（如刺痛、悶痛）或不適感受</t>
        </is>
      </c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</row>
    <row r="31">
      <c r="A31" s="37" t="inlineStr">
        <is>
          <t>指標 4</t>
        </is>
      </c>
      <c r="B31" s="38" t="inlineStr">
        <is>
          <t>4. 能知道身體不適時需第一時間告知支持者或家屬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</row>
    <row r="32">
      <c r="A32" s="37" t="inlineStr">
        <is>
          <t>指標 5</t>
        </is>
      </c>
      <c r="B32" s="38" t="inlineStr">
        <is>
          <t>5. 能說出或指出需要尋求的醫療協助（如看醫生、吃藥）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</row>
    <row r="33">
      <c r="A33" s="37" t="inlineStr">
        <is>
          <t>指標 6</t>
        </is>
      </c>
      <c r="B33" s="38" t="inlineStr">
        <is>
          <t>6. 能正確選擇適合的日用／夜用型衛生用品</t>
        </is>
      </c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</row>
    <row r="34">
      <c r="A34" s="37" t="inlineStr">
        <is>
          <t>指標 7</t>
        </is>
      </c>
      <c r="B34" s="38" t="inlineStr">
        <is>
          <t>7. 能正確完成衛生用品的黏貼與更換完整流程</t>
        </is>
      </c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</row>
    <row r="35">
      <c r="A35" s="37" t="inlineStr">
        <is>
          <t>指標 8</t>
        </is>
      </c>
      <c r="B35" s="38" t="inlineStr">
        <is>
          <t>8. 能妥善包裝並丟棄使用過的衛生用品至垃圾桶</t>
        </is>
      </c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</row>
    <row r="36">
      <c r="A36" s="37" t="inlineStr">
        <is>
          <t>指標 9</t>
        </is>
      </c>
      <c r="B36" s="38" t="inlineStr">
        <is>
          <t>9. 就醫看診時能回答醫師的基本問診問題</t>
        </is>
      </c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</row>
    <row r="37">
      <c r="A37" s="37" t="inlineStr">
        <is>
          <t>指標 10</t>
        </is>
      </c>
      <c r="B37" s="38" t="inlineStr">
        <is>
          <t>10. 能主動向醫師或支持者提出自己的健康疑問</t>
        </is>
      </c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</row>
  </sheetData>
  <mergeCells count="39">
    <mergeCell ref="B35:L35"/>
    <mergeCell ref="Q9:Q11"/>
    <mergeCell ref="A21:A23"/>
    <mergeCell ref="A24:B24"/>
    <mergeCell ref="S9:S11"/>
    <mergeCell ref="A12:A14"/>
    <mergeCell ref="Q6:Q8"/>
    <mergeCell ref="A1:V2"/>
    <mergeCell ref="Q15:Q17"/>
    <mergeCell ref="S15:S17"/>
    <mergeCell ref="B31:L31"/>
    <mergeCell ref="R18:R20"/>
    <mergeCell ref="R9:R11"/>
    <mergeCell ref="A15:A17"/>
    <mergeCell ref="A9:A11"/>
    <mergeCell ref="Q18:Q20"/>
    <mergeCell ref="S18:S20"/>
    <mergeCell ref="Q12:Q14"/>
    <mergeCell ref="A4:A5"/>
    <mergeCell ref="S12:S14"/>
    <mergeCell ref="Q21:Q23"/>
    <mergeCell ref="B29:L29"/>
    <mergeCell ref="S21:S23"/>
    <mergeCell ref="B34:L34"/>
    <mergeCell ref="B37:L37"/>
    <mergeCell ref="B28:L28"/>
    <mergeCell ref="A18:A20"/>
    <mergeCell ref="A6:A8"/>
    <mergeCell ref="R6:R8"/>
    <mergeCell ref="B36:L36"/>
    <mergeCell ref="B4:B5"/>
    <mergeCell ref="B30:L30"/>
    <mergeCell ref="R12:R14"/>
    <mergeCell ref="B33:L33"/>
    <mergeCell ref="R15:R17"/>
    <mergeCell ref="R21:R23"/>
    <mergeCell ref="A3:V3"/>
    <mergeCell ref="B32:L32"/>
    <mergeCell ref="S6:S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>
      <c r="A1" s="12" t="inlineStr">
        <is>
          <t>116年度全年度四季前後測成績與進步成效總表</t>
        </is>
      </c>
    </row>
    <row r="2"/>
    <row r="4">
      <c r="A4" s="39" t="inlineStr">
        <is>
          <t>學員姓名</t>
        </is>
      </c>
      <c r="B4" s="39" t="inlineStr">
        <is>
          <t>Q1前測</t>
        </is>
      </c>
      <c r="C4" s="39" t="inlineStr">
        <is>
          <t>Q1課堂</t>
        </is>
      </c>
      <c r="D4" s="39" t="inlineStr">
        <is>
          <t>Q1後測</t>
        </is>
      </c>
      <c r="E4" s="39" t="inlineStr">
        <is>
          <t>Q2前測</t>
        </is>
      </c>
      <c r="F4" s="39" t="inlineStr">
        <is>
          <t>Q2課堂</t>
        </is>
      </c>
      <c r="G4" s="39" t="inlineStr">
        <is>
          <t>Q2後測</t>
        </is>
      </c>
      <c r="H4" s="39" t="inlineStr">
        <is>
          <t>Q3前測</t>
        </is>
      </c>
      <c r="I4" s="39" t="inlineStr">
        <is>
          <t>Q3課堂</t>
        </is>
      </c>
      <c r="J4" s="39" t="inlineStr">
        <is>
          <t>Q3後測</t>
        </is>
      </c>
      <c r="K4" s="39" t="inlineStr">
        <is>
          <t>Q4前測</t>
        </is>
      </c>
      <c r="L4" s="39" t="inlineStr">
        <is>
          <t>Q4課堂</t>
        </is>
      </c>
      <c r="M4" s="39" t="inlineStr">
        <is>
          <t>Q4後測</t>
        </is>
      </c>
      <c r="N4" s="39" t="inlineStr">
        <is>
          <t>年度年初基準</t>
        </is>
      </c>
      <c r="O4" s="39" t="inlineStr">
        <is>
          <t>年度年末總結</t>
        </is>
      </c>
      <c r="P4" s="39" t="inlineStr">
        <is>
          <t>年度總進步率</t>
        </is>
      </c>
    </row>
    <row r="5">
      <c r="A5" s="21" t="inlineStr">
        <is>
          <t>宇彤</t>
        </is>
      </c>
      <c r="B5" s="21">
        <f>'Q1評量打分'!M6</f>
        <v/>
      </c>
      <c r="C5" s="21">
        <f>'Q1評量打分'!M7</f>
        <v/>
      </c>
      <c r="D5" s="21">
        <f>'Q1評量打分'!M8</f>
        <v/>
      </c>
      <c r="E5" s="21">
        <f>'Q2評量打分'!M6</f>
        <v/>
      </c>
      <c r="F5" s="21">
        <f>'Q2評量打分'!M7</f>
        <v/>
      </c>
      <c r="G5" s="21">
        <f>'Q2評量打分'!M8</f>
        <v/>
      </c>
      <c r="H5" s="21">
        <f>'Q3評量打分'!M6</f>
        <v/>
      </c>
      <c r="I5" s="21">
        <f>'Q3評量打分'!M7</f>
        <v/>
      </c>
      <c r="J5" s="21">
        <f>'Q3評量打分'!M8</f>
        <v/>
      </c>
      <c r="K5" s="21">
        <f>'Q4評量打分'!M6</f>
        <v/>
      </c>
      <c r="L5" s="21">
        <f>'Q4評量打分'!M7</f>
        <v/>
      </c>
      <c r="M5" s="21">
        <f>'Q4評量打分'!M8</f>
        <v/>
      </c>
      <c r="N5" s="40">
        <f>B5</f>
        <v/>
      </c>
      <c r="O5" s="40">
        <f>M5</f>
        <v/>
      </c>
      <c r="P5" s="27">
        <f>(O5-N5)/N5</f>
        <v/>
      </c>
    </row>
    <row r="6">
      <c r="A6" s="21" t="inlineStr">
        <is>
          <t>育萱</t>
        </is>
      </c>
      <c r="B6" s="21">
        <f>'Q1評量打分'!M9</f>
        <v/>
      </c>
      <c r="C6" s="21">
        <f>'Q1評量打分'!M10</f>
        <v/>
      </c>
      <c r="D6" s="21">
        <f>'Q1評量打分'!M11</f>
        <v/>
      </c>
      <c r="E6" s="21">
        <f>'Q2評量打分'!M9</f>
        <v/>
      </c>
      <c r="F6" s="21">
        <f>'Q2評量打分'!M10</f>
        <v/>
      </c>
      <c r="G6" s="21">
        <f>'Q2評量打分'!M11</f>
        <v/>
      </c>
      <c r="H6" s="21">
        <f>'Q3評量打分'!M9</f>
        <v/>
      </c>
      <c r="I6" s="21">
        <f>'Q3評量打分'!M10</f>
        <v/>
      </c>
      <c r="J6" s="21">
        <f>'Q3評量打分'!M11</f>
        <v/>
      </c>
      <c r="K6" s="21">
        <f>'Q4評量打分'!M9</f>
        <v/>
      </c>
      <c r="L6" s="21">
        <f>'Q4評量打分'!M10</f>
        <v/>
      </c>
      <c r="M6" s="21">
        <f>'Q4評量打分'!M11</f>
        <v/>
      </c>
      <c r="N6" s="40">
        <f>B6</f>
        <v/>
      </c>
      <c r="O6" s="40">
        <f>M6</f>
        <v/>
      </c>
      <c r="P6" s="27">
        <f>(O6-N6)/N6</f>
        <v/>
      </c>
    </row>
    <row r="7">
      <c r="A7" s="21" t="inlineStr">
        <is>
          <t>高齊</t>
        </is>
      </c>
      <c r="B7" s="21">
        <f>'Q1評量打分'!M12</f>
        <v/>
      </c>
      <c r="C7" s="21">
        <f>'Q1評量打分'!M13</f>
        <v/>
      </c>
      <c r="D7" s="21">
        <f>'Q1評量打分'!M14</f>
        <v/>
      </c>
      <c r="E7" s="21">
        <f>'Q2評量打分'!M12</f>
        <v/>
      </c>
      <c r="F7" s="21">
        <f>'Q2評量打分'!M13</f>
        <v/>
      </c>
      <c r="G7" s="21">
        <f>'Q2評量打分'!M14</f>
        <v/>
      </c>
      <c r="H7" s="21">
        <f>'Q3評量打分'!M12</f>
        <v/>
      </c>
      <c r="I7" s="21">
        <f>'Q3評量打分'!M13</f>
        <v/>
      </c>
      <c r="J7" s="21">
        <f>'Q3評量打分'!M14</f>
        <v/>
      </c>
      <c r="K7" s="21">
        <f>'Q4評量打分'!M12</f>
        <v/>
      </c>
      <c r="L7" s="21">
        <f>'Q4評量打分'!M13</f>
        <v/>
      </c>
      <c r="M7" s="21">
        <f>'Q4評量打分'!M14</f>
        <v/>
      </c>
      <c r="N7" s="40">
        <f>B7</f>
        <v/>
      </c>
      <c r="O7" s="40">
        <f>M7</f>
        <v/>
      </c>
      <c r="P7" s="27">
        <f>(O7-N7)/N7</f>
        <v/>
      </c>
    </row>
    <row r="8">
      <c r="A8" s="21" t="inlineStr">
        <is>
          <t>芷嫻</t>
        </is>
      </c>
      <c r="B8" s="21">
        <f>'Q1評量打分'!M15</f>
        <v/>
      </c>
      <c r="C8" s="21">
        <f>'Q1評量打分'!M16</f>
        <v/>
      </c>
      <c r="D8" s="21">
        <f>'Q1評量打分'!M17</f>
        <v/>
      </c>
      <c r="E8" s="21">
        <f>'Q2評量打分'!M15</f>
        <v/>
      </c>
      <c r="F8" s="21">
        <f>'Q2評量打分'!M16</f>
        <v/>
      </c>
      <c r="G8" s="21">
        <f>'Q2評量打分'!M17</f>
        <v/>
      </c>
      <c r="H8" s="21">
        <f>'Q3評量打分'!M15</f>
        <v/>
      </c>
      <c r="I8" s="21">
        <f>'Q3評量打分'!M16</f>
        <v/>
      </c>
      <c r="J8" s="21">
        <f>'Q3評量打分'!M17</f>
        <v/>
      </c>
      <c r="K8" s="21">
        <f>'Q4評量打分'!M15</f>
        <v/>
      </c>
      <c r="L8" s="21">
        <f>'Q4評量打分'!M16</f>
        <v/>
      </c>
      <c r="M8" s="21">
        <f>'Q4評量打分'!M17</f>
        <v/>
      </c>
      <c r="N8" s="40">
        <f>B8</f>
        <v/>
      </c>
      <c r="O8" s="40">
        <f>M8</f>
        <v/>
      </c>
      <c r="P8" s="27">
        <f>(O8-N8)/N8</f>
        <v/>
      </c>
    </row>
    <row r="9">
      <c r="A9" s="21" t="inlineStr">
        <is>
          <t>志豪</t>
        </is>
      </c>
      <c r="B9" s="21">
        <f>'Q1評量打分'!M18</f>
        <v/>
      </c>
      <c r="C9" s="21">
        <f>'Q1評量打分'!M19</f>
        <v/>
      </c>
      <c r="D9" s="21">
        <f>'Q1評量打分'!M20</f>
        <v/>
      </c>
      <c r="E9" s="21">
        <f>'Q2評量打分'!M18</f>
        <v/>
      </c>
      <c r="F9" s="21">
        <f>'Q2評量打分'!M19</f>
        <v/>
      </c>
      <c r="G9" s="21">
        <f>'Q2評量打分'!M20</f>
        <v/>
      </c>
      <c r="H9" s="21">
        <f>'Q3評量打分'!M18</f>
        <v/>
      </c>
      <c r="I9" s="21">
        <f>'Q3評量打分'!M19</f>
        <v/>
      </c>
      <c r="J9" s="21">
        <f>'Q3評量打分'!M20</f>
        <v/>
      </c>
      <c r="K9" s="21">
        <f>'Q4評量打分'!M18</f>
        <v/>
      </c>
      <c r="L9" s="21">
        <f>'Q4評量打分'!M19</f>
        <v/>
      </c>
      <c r="M9" s="21">
        <f>'Q4評量打分'!M20</f>
        <v/>
      </c>
      <c r="N9" s="40">
        <f>B9</f>
        <v/>
      </c>
      <c r="O9" s="40">
        <f>M9</f>
        <v/>
      </c>
      <c r="P9" s="27">
        <f>(O9-N9)/N9</f>
        <v/>
      </c>
    </row>
    <row r="10">
      <c r="A10" s="21" t="inlineStr">
        <is>
          <t>雅婷</t>
        </is>
      </c>
      <c r="B10" s="21">
        <f>'Q1評量打分'!M21</f>
        <v/>
      </c>
      <c r="C10" s="21">
        <f>'Q1評量打分'!M22</f>
        <v/>
      </c>
      <c r="D10" s="21">
        <f>'Q1評量打分'!M23</f>
        <v/>
      </c>
      <c r="E10" s="21">
        <f>'Q2評量打分'!M21</f>
        <v/>
      </c>
      <c r="F10" s="21">
        <f>'Q2評量打分'!M22</f>
        <v/>
      </c>
      <c r="G10" s="21">
        <f>'Q2評量打分'!M23</f>
        <v/>
      </c>
      <c r="H10" s="21">
        <f>'Q3評量打分'!M21</f>
        <v/>
      </c>
      <c r="I10" s="21">
        <f>'Q3評量打分'!M22</f>
        <v/>
      </c>
      <c r="J10" s="21">
        <f>'Q3評量打分'!M23</f>
        <v/>
      </c>
      <c r="K10" s="21">
        <f>'Q4評量打分'!M21</f>
        <v/>
      </c>
      <c r="L10" s="21">
        <f>'Q4評量打分'!M22</f>
        <v/>
      </c>
      <c r="M10" s="21">
        <f>'Q4評量打分'!M23</f>
        <v/>
      </c>
      <c r="N10" s="40">
        <f>B10</f>
        <v/>
      </c>
      <c r="O10" s="40">
        <f>M10</f>
        <v/>
      </c>
      <c r="P10" s="27">
        <f>(O10-N10)/N10</f>
        <v/>
      </c>
    </row>
  </sheetData>
  <mergeCells count="1">
    <mergeCell ref="A1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4" customWidth="1" min="4" max="4"/>
    <col width="65" customWidth="1" min="5" max="5"/>
  </cols>
  <sheetData>
    <row r="1">
      <c r="A1" s="12" t="inlineStr">
        <is>
          <t>個別化服務計畫 (ISP) 與評鑑報告 - 衛教成效質性敘述自動生成範本</t>
        </is>
      </c>
    </row>
    <row r="2"/>
    <row r="4">
      <c r="A4" s="2" t="inlineStr">
        <is>
          <t>學員姓名</t>
        </is>
      </c>
      <c r="B4" s="2" t="inlineStr">
        <is>
          <t>評量季度</t>
        </is>
      </c>
      <c r="C4" s="2" t="inlineStr">
        <is>
          <t>分數成長摘要</t>
        </is>
      </c>
      <c r="D4" s="2" t="inlineStr">
        <is>
          <t>當前學習自立階段</t>
        </is>
      </c>
      <c r="E4" s="2" t="inlineStr">
        <is>
          <t>ISP 質性敘述建議 (可直接複製於評鑑與服務紀錄)</t>
        </is>
      </c>
    </row>
    <row r="5">
      <c r="A5" s="3" t="inlineStr">
        <is>
          <t>宇彤</t>
        </is>
      </c>
      <c r="B5" s="3" t="inlineStr">
        <is>
          <t>第一季 (健康衛生)</t>
        </is>
      </c>
      <c r="C5" s="3" t="inlineStr">
        <is>
          <t>前測 28分 ➔ 課堂 36分 ➔ 後測 42分 (+14分, 進步率 50.0%)</t>
        </is>
      </c>
      <c r="D5" s="41" t="inlineStr">
        <is>
          <t>🔵 口語提示階段 (4.2分/基本自立)</t>
        </is>
      </c>
      <c r="E5" s="4" t="inlineStr">
        <is>
          <t>在第一季『健康衛生與日常照護』中，前測得分為28分，經3個月結構化教學與實作，後測提升至42分（進步14分，進步率50.0%）。其中洗手步驟已由『部分肢體協助（2分）』提升至『聽到口語提示即可正確完成（4分）』，已達到基本生活自立水準。</t>
        </is>
      </c>
    </row>
    <row r="6">
      <c r="A6" s="3" t="inlineStr">
        <is>
          <t>育萱</t>
        </is>
      </c>
      <c r="B6" s="3" t="inlineStr">
        <is>
          <t>第一季 (健康衛生)</t>
        </is>
      </c>
      <c r="C6" s="3" t="inlineStr">
        <is>
          <t>前測 35分 ➔ 課堂 40分 ➔ 後測 46分 (+11分, 進步率 31.4%)</t>
        </is>
      </c>
      <c r="D6" s="41" t="inlineStr">
        <is>
          <t>🟢 獨立自主階段 (4.6分/獨立達標)</t>
        </is>
      </c>
      <c r="E6" s="4" t="inlineStr">
        <is>
          <t>在第一季衛教實作中展現優異穩定度，前測35分提升至後測46分。潔牙角度與刷牙步驟已能完全自主獨立完成（達5分），並能主動擔任同儕示範小幫手。</t>
        </is>
      </c>
    </row>
    <row r="7">
      <c r="A7" s="3" t="inlineStr">
        <is>
          <t>高齊</t>
        </is>
      </c>
      <c r="B7" s="3" t="inlineStr">
        <is>
          <t>第一季 (健康衛生)</t>
        </is>
      </c>
      <c r="C7" s="3" t="inlineStr">
        <is>
          <t>前測 25分 ➔ 課堂 32分 ➔ 後測 40分 (+15分, 進步率 60.0%)</t>
        </is>
      </c>
      <c r="D7" s="41" t="inlineStr">
        <is>
          <t>🔵 口語提示階段 (4.0分/基本自立)</t>
        </is>
      </c>
      <c r="E7" s="4" t="inlineStr">
        <is>
          <t>前測為25分（需大量協助），經課堂持續練習與視覺提示支持，後測大幅進步至40分。傷口清潔與OK繃黏貼已能依口語提示順利操作，進步幅度達60.0%。</t>
        </is>
      </c>
    </row>
    <row r="8">
      <c r="A8" s="3" t="inlineStr">
        <is>
          <t>芷嫻</t>
        </is>
      </c>
      <c r="B8" s="3" t="inlineStr">
        <is>
          <t>第一季 (健康衛生)</t>
        </is>
      </c>
      <c r="C8" s="3" t="inlineStr">
        <is>
          <t>前測 32分 ➔ 課堂 40分 ➔ 後測 44分 (+12分, 進步率 37.5%)</t>
        </is>
      </c>
      <c r="D8" s="41" t="inlineStr">
        <is>
          <t>🔵 口語提示階段 (4.4分/基本自立)</t>
        </is>
      </c>
      <c r="E8" s="4" t="inlineStr">
        <is>
          <t>前測32分提升至後測44分，能精準掌握流動水沖洗與貝氏刷牙法，止鼻血處置亦能主動保持頭部微前傾，學習成效良好。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2026-08-15T07:15:45Z</dcterms:created>
  <dcterms:modified xsi:type="dcterms:W3CDTF">2026-08-15T07:15:46Z</dcterms:modified>
</cp:coreProperties>
</file>