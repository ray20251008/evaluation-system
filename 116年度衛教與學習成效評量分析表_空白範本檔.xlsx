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評分標準與說明" sheetId="1" state="visible" r:id="rId1"/>
    <sheet name="Q1評量打分" sheetId="2" state="visible" r:id="rId2"/>
    <sheet name="Q2評量打分" sheetId="3" state="visible" r:id="rId3"/>
    <sheet name="Q3評量打分" sheetId="4" state="visible" r:id="rId4"/>
    <sheet name="Q4評量打分" sheetId="5" state="visible" r:id="rId5"/>
    <sheet name="年度成果統計總表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+0;-0;0"/>
    <numFmt numFmtId="167" formatCode="+0.0%;-0.0%;0.0%"/>
  </numFmts>
  <fonts count="15">
    <font>
      <name val="Calibri"/>
      <family val="2"/>
      <color theme="1"/>
      <sz val="11"/>
      <scheme val="minor"/>
    </font>
    <font>
      <name val="微軟正黑體"/>
      <b val="1"/>
      <color rgb="00FFFFFF"/>
      <sz val="16"/>
    </font>
    <font>
      <name val="微軟正黑體"/>
      <b val="1"/>
      <color rgb="00FFFFFF"/>
      <sz val="11"/>
    </font>
    <font>
      <name val="微軟正黑體"/>
      <sz val="10"/>
    </font>
    <font>
      <name val="微軟正黑體"/>
      <b val="1"/>
      <color rgb="001E3A8A"/>
      <sz val="12"/>
    </font>
    <font>
      <name val="微軟正黑體"/>
      <b val="1"/>
      <color rgb="00FFFFFF"/>
      <sz val="14"/>
    </font>
    <font>
      <name val="微軟正黑體"/>
      <b val="1"/>
      <color rgb="001E3A8A"/>
      <sz val="10"/>
    </font>
    <font>
      <name val="微軟正黑體"/>
      <b val="1"/>
      <color rgb="00FFFFFF"/>
      <sz val="10"/>
    </font>
    <font>
      <name val="微軟正黑體"/>
      <color rgb="00FFFFFF"/>
      <sz val="8"/>
    </font>
    <font>
      <name val="微軟正黑體"/>
      <b val="1"/>
      <sz val="11"/>
    </font>
    <font>
      <name val="微軟正黑體"/>
      <sz val="9"/>
    </font>
    <font>
      <name val="微軟正黑體"/>
      <b val="1"/>
      <sz val="9"/>
    </font>
    <font>
      <name val="微軟正黑體"/>
      <b val="1"/>
      <sz val="10"/>
    </font>
    <font>
      <name val="微軟正黑體"/>
      <b val="1"/>
      <color rgb="00166534"/>
      <sz val="10"/>
    </font>
    <font>
      <name val="微軟正黑體"/>
      <b val="1"/>
      <color rgb="001E3A8A"/>
      <sz val="11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D9488"/>
        <bgColor rgb="000D9488"/>
      </patternFill>
    </fill>
    <fill>
      <patternFill patternType="solid">
        <fgColor rgb="00F8FAFC"/>
        <bgColor rgb="00F8FAFC"/>
      </patternFill>
    </fill>
    <fill>
      <patternFill patternType="solid">
        <fgColor rgb="00DBEAFE"/>
        <bgColor rgb="00DBEAFE"/>
      </patternFill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E2E8F0"/>
        <bgColor rgb="00E2E8F0"/>
      </patternFill>
    </fill>
    <fill>
      <patternFill patternType="solid">
        <fgColor rgb="00DCFCE7"/>
        <bgColor rgb="00DCFCE7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E3A8A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0" pivotButton="0" quotePrefix="0" xfId="0"/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5" fillId="2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0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166" fontId="13" fillId="9" borderId="1" applyAlignment="1" pivotButton="0" quotePrefix="0" xfId="0">
      <alignment horizontal="center" vertical="center"/>
    </xf>
    <xf numFmtId="167" fontId="13" fillId="9" borderId="1" applyAlignment="1" pivotButton="0" quotePrefix="0" xfId="0">
      <alignment horizontal="center" vertical="center"/>
    </xf>
    <xf numFmtId="0" fontId="0" fillId="0" borderId="1" pivotButton="0" quotePrefix="0" xfId="0"/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/>
    </xf>
    <xf numFmtId="0" fontId="14" fillId="0" borderId="0" pivotButton="0" quotePrefix="0" xfId="0"/>
    <xf numFmtId="0" fontId="10" fillId="0" borderId="1" applyAlignment="1" pivotButton="0" quotePrefix="0" xfId="0">
      <alignment horizontal="center"/>
    </xf>
    <xf numFmtId="0" fontId="10" fillId="0" borderId="1" pivotButton="0" quotePrefix="0" xfId="0"/>
    <xf numFmtId="0" fontId="7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38" customWidth="1" min="3" max="3"/>
    <col width="25" customWidth="1" min="4" max="4"/>
    <col width="12" customWidth="1" min="5" max="5"/>
    <col width="25" customWidth="1" min="6" max="6"/>
  </cols>
  <sheetData>
    <row r="1">
      <c r="A1" s="1" t="inlineStr">
        <is>
          <t>116年度身心障礙者服務衛教執行計畫暨成效評量手冊 - 評分標準與使用說明 (空白範本)</t>
        </is>
      </c>
    </row>
    <row r="2"/>
    <row r="4">
      <c r="A4" s="2" t="inlineStr">
        <is>
          <t>分數</t>
        </is>
      </c>
      <c r="B4" s="2" t="inlineStr">
        <is>
          <t>評分等級</t>
        </is>
      </c>
      <c r="C4" s="2" t="inlineStr">
        <is>
          <t>判定標準與具體表現說明</t>
        </is>
      </c>
      <c r="D4" s="2" t="inlineStr">
        <is>
          <t>學習階段判定</t>
        </is>
      </c>
      <c r="E4" s="2" t="inlineStr">
        <is>
          <t>代表色彩</t>
        </is>
      </c>
      <c r="F4" s="2" t="inlineStr">
        <is>
          <t>備註說明</t>
        </is>
      </c>
    </row>
    <row r="5">
      <c r="A5" s="3" t="n">
        <v>5</v>
      </c>
      <c r="B5" s="3" t="inlineStr">
        <is>
          <t>可獨立完成</t>
        </is>
      </c>
      <c r="C5" s="4" t="inlineStr">
        <is>
          <t>不需要任何提示，能主動且正確無誤地完成完整步驟。</t>
        </is>
      </c>
      <c r="D5" s="3" t="inlineStr">
        <is>
          <t>🟢 獨立自主階段 (4.5~5.0分)</t>
        </is>
      </c>
      <c r="E5" s="3" t="inlineStr">
        <is>
          <t>綠色</t>
        </is>
      </c>
      <c r="F5" s="4" t="inlineStr">
        <is>
          <t>達到完全自立水準</t>
        </is>
      </c>
    </row>
    <row r="6">
      <c r="A6" s="5" t="n">
        <v>4</v>
      </c>
      <c r="B6" s="5" t="inlineStr">
        <is>
          <t>口語提示</t>
        </is>
      </c>
      <c r="C6" s="6" t="inlineStr">
        <is>
          <t>支持者給予口頭提醒（如：「夾的動作呢？」）即可正確完成。</t>
        </is>
      </c>
      <c r="D6" s="5" t="inlineStr">
        <is>
          <t>🔵 口語提示階段 (3.5~4.4分)</t>
        </is>
      </c>
      <c r="E6" s="5" t="inlineStr">
        <is>
          <t>藍色</t>
        </is>
      </c>
      <c r="F6" s="6" t="inlineStr">
        <is>
          <t>達到基本自立達標標準</t>
        </is>
      </c>
    </row>
    <row r="7">
      <c r="A7" s="3" t="n">
        <v>3</v>
      </c>
      <c r="B7" s="3" t="inlineStr">
        <is>
          <t>肢體協助</t>
        </is>
      </c>
      <c r="C7" s="4" t="inlineStr">
        <is>
          <t>需要支持者給予肢體引導或輕碰示範（如牽手引導角度）才能完成。</t>
        </is>
      </c>
      <c r="D7" s="3" t="inlineStr">
        <is>
          <t>🟡 肢體協助階段 (2.5~3.4分)</t>
        </is>
      </c>
      <c r="E7" s="3" t="inlineStr">
        <is>
          <t>黃色</t>
        </is>
      </c>
      <c r="F7" s="4" t="inlineStr">
        <is>
          <t>需日常持續操作練習</t>
        </is>
      </c>
    </row>
    <row r="8">
      <c r="A8" s="5" t="n">
        <v>2</v>
      </c>
      <c r="B8" s="5" t="inlineStr">
        <is>
          <t>部分協助</t>
        </is>
      </c>
      <c r="C8" s="6" t="inlineStr">
        <is>
          <t>需支持者協助操作超過一半或關鍵步驟才能完成。</t>
        </is>
      </c>
      <c r="D8" s="5" t="inlineStr">
        <is>
          <t>🟡 部分協助階段 (2.0~2.4分)</t>
        </is>
      </c>
      <c r="E8" s="5" t="inlineStr">
        <is>
          <t>橙色</t>
        </is>
      </c>
      <c r="F8" s="6" t="inlineStr">
        <is>
          <t>需拆解步驟個別引導</t>
        </is>
      </c>
    </row>
    <row r="9">
      <c r="A9" s="3" t="n">
        <v>1</v>
      </c>
      <c r="B9" s="3" t="inlineStr">
        <is>
          <t>大量協助</t>
        </is>
      </c>
      <c r="C9" s="4" t="inlineStr">
        <is>
          <t>大部分步驟由支持者代為操作，使用者僅能參與極少部分。</t>
        </is>
      </c>
      <c r="D9" s="3" t="inlineStr">
        <is>
          <t>🟠 大量協助階段 (1.0~1.9分)</t>
        </is>
      </c>
      <c r="E9" s="3" t="inlineStr">
        <is>
          <t>紅橙色</t>
        </is>
      </c>
      <c r="F9" s="4" t="inlineStr">
        <is>
          <t>需支持者全程密集陪伴</t>
        </is>
      </c>
    </row>
    <row r="10">
      <c r="A10" s="5" t="n">
        <v>0</v>
      </c>
      <c r="B10" s="5" t="inlineStr">
        <is>
          <t>無法完成</t>
        </is>
      </c>
      <c r="C10" s="6" t="inlineStr">
        <is>
          <t>即使提供大量協助仍無法完成或拒絕配合操作。</t>
        </is>
      </c>
      <c r="D10" s="5" t="inlineStr">
        <is>
          <t>🔴 引導探索階段 (0.0~0.9分)</t>
        </is>
      </c>
      <c r="E10" s="5" t="inlineStr">
        <is>
          <t>紅色</t>
        </is>
      </c>
      <c r="F10" s="6" t="inlineStr">
        <is>
          <t>需建立動機與基礎習慣</t>
        </is>
      </c>
    </row>
    <row r="12">
      <c r="A12" s="7" t="inlineStr">
        <is>
          <t>◆ 填寫方式指引</t>
        </is>
      </c>
    </row>
    <row r="13">
      <c r="A13" s="8" t="inlineStr">
        <is>
          <t>步驟 1</t>
        </is>
      </c>
      <c r="B13" s="9" t="inlineStr">
        <is>
          <t>請直接切換至各季評量打分表（Q1、Q2、Q3、Q4）。</t>
        </is>
      </c>
      <c r="C13" s="9" t="n"/>
      <c r="D13" s="9" t="n"/>
      <c r="E13" s="9" t="n"/>
      <c r="F13" s="9" t="n"/>
    </row>
    <row r="14">
      <c r="A14" s="8" t="inlineStr">
        <is>
          <t>步驟 2</t>
        </is>
      </c>
      <c r="B14" s="9" t="inlineStr">
        <is>
          <t>在「學員姓名」欄位輸入您的學員名字（可自行複製新增多位學員）。</t>
        </is>
      </c>
      <c r="C14" s="9" t="n"/>
      <c r="D14" s="9" t="n"/>
      <c r="E14" s="9" t="n"/>
      <c r="F14" s="9" t="n"/>
    </row>
    <row r="15">
      <c r="A15" s="8" t="inlineStr">
        <is>
          <t>步驟 3</t>
        </is>
      </c>
      <c r="B15" s="9" t="inlineStr">
        <is>
          <t>在指標 1 ～ 10 欄位輸入 0 ～ 5 分的評量得分。</t>
        </is>
      </c>
      <c r="C15" s="9" t="n"/>
      <c r="D15" s="9" t="n"/>
      <c r="E15" s="9" t="n"/>
      <c r="F15" s="9" t="n"/>
    </row>
    <row r="16">
      <c r="A16" s="8" t="inlineStr">
        <is>
          <t>步驟 4</t>
        </is>
      </c>
      <c r="B16" s="9" t="inlineStr">
        <is>
          <t>系統將自動計算【總得分】、【平均分】、【學習階段】、【達成率】、【進步分數】與【進步率】！</t>
        </is>
      </c>
      <c r="C16" s="9" t="n"/>
      <c r="D16" s="9" t="n"/>
      <c r="E16" s="9" t="n"/>
      <c r="F16" s="9" t="n"/>
    </row>
  </sheetData>
  <mergeCells count="5">
    <mergeCell ref="B16:F16"/>
    <mergeCell ref="B15:F15"/>
    <mergeCell ref="A1:F2"/>
    <mergeCell ref="B14:F14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18" customWidth="1" min="15" max="15"/>
    <col width="10" customWidth="1" min="16" max="16"/>
    <col width="11" customWidth="1" min="17" max="17"/>
    <col width="11" customWidth="1" min="18" max="18"/>
    <col width="13" customWidth="1" min="19" max="19"/>
  </cols>
  <sheetData>
    <row r="1">
      <c r="A1" s="10" t="inlineStr">
        <is>
          <t>第一季 (1~3月)：健康衛生與日常照護 - 學員前測／課堂平時／後測評量打分表</t>
        </is>
      </c>
    </row>
    <row r="2"/>
    <row r="3">
      <c r="A3" s="11" t="inlineStr">
        <is>
          <t>【評分提示等級】5:可獨立完成 ｜ 4:口語提示 ｜ 3:肢體協助 ｜ 2:部分協助 ｜ 1:大量協助 ｜ 0:無法完成 (在指標 1~10 欄位填入 0~5 分)</t>
        </is>
      </c>
    </row>
    <row r="4">
      <c r="A4" s="12" t="inlineStr">
        <is>
          <t>學員姓名</t>
        </is>
      </c>
      <c r="B4" s="12" t="inlineStr">
        <is>
          <t>評量階段</t>
        </is>
      </c>
      <c r="C4" s="13" t="inlineStr">
        <is>
          <t>指標 1</t>
        </is>
      </c>
      <c r="D4" s="13" t="inlineStr">
        <is>
          <t>指標 2</t>
        </is>
      </c>
      <c r="E4" s="13" t="inlineStr">
        <is>
          <t>指標 3</t>
        </is>
      </c>
      <c r="F4" s="13" t="inlineStr">
        <is>
          <t>指標 4</t>
        </is>
      </c>
      <c r="G4" s="13" t="inlineStr">
        <is>
          <t>指標 5</t>
        </is>
      </c>
      <c r="H4" s="13" t="inlineStr">
        <is>
          <t>指標 6</t>
        </is>
      </c>
      <c r="I4" s="13" t="inlineStr">
        <is>
          <t>指標 7</t>
        </is>
      </c>
      <c r="J4" s="13" t="inlineStr">
        <is>
          <t>指標 8</t>
        </is>
      </c>
      <c r="K4" s="13" t="inlineStr">
        <is>
          <t>指標 9</t>
        </is>
      </c>
      <c r="L4" s="13" t="inlineStr">
        <is>
          <t>指標 10</t>
        </is>
      </c>
      <c r="M4" s="14" t="inlineStr">
        <is>
          <t>總得分</t>
        </is>
      </c>
      <c r="N4" s="14" t="inlineStr">
        <is>
          <t>平均分</t>
        </is>
      </c>
      <c r="O4" s="14" t="inlineStr">
        <is>
          <t>學習階段判定</t>
        </is>
      </c>
      <c r="P4" s="14" t="inlineStr">
        <is>
          <t>達成率</t>
        </is>
      </c>
      <c r="Q4" s="14" t="inlineStr">
        <is>
          <t>進步分數</t>
        </is>
      </c>
      <c r="R4" s="14" t="inlineStr">
        <is>
          <t>進步率</t>
        </is>
      </c>
      <c r="S4" s="14" t="inlineStr">
        <is>
          <t>成長百分點</t>
        </is>
      </c>
    </row>
    <row r="5">
      <c r="C5" s="15" t="inlineStr">
        <is>
          <t>(0~5分)</t>
        </is>
      </c>
      <c r="D5" s="15" t="inlineStr">
        <is>
          <t>(0~5分)</t>
        </is>
      </c>
      <c r="E5" s="15" t="inlineStr">
        <is>
          <t>(0~5分)</t>
        </is>
      </c>
      <c r="F5" s="15" t="inlineStr">
        <is>
          <t>(0~5分)</t>
        </is>
      </c>
      <c r="G5" s="15" t="inlineStr">
        <is>
          <t>(0~5分)</t>
        </is>
      </c>
      <c r="H5" s="15" t="inlineStr">
        <is>
          <t>(0~5分)</t>
        </is>
      </c>
      <c r="I5" s="15" t="inlineStr">
        <is>
          <t>(0~5分)</t>
        </is>
      </c>
      <c r="J5" s="15" t="inlineStr">
        <is>
          <t>(0~5分)</t>
        </is>
      </c>
      <c r="K5" s="15" t="inlineStr">
        <is>
          <t>(0~5分)</t>
        </is>
      </c>
      <c r="L5" s="15" t="inlineStr">
        <is>
          <t>(0~5分)</t>
        </is>
      </c>
      <c r="M5" s="16" t="inlineStr">
        <is>
          <t>(滿分50)</t>
        </is>
      </c>
      <c r="N5" s="16" t="inlineStr">
        <is>
          <t>(0~5分)</t>
        </is>
      </c>
      <c r="O5" s="16" t="inlineStr">
        <is>
          <t>(等級標記)</t>
        </is>
      </c>
      <c r="P5" s="16" t="inlineStr">
        <is>
          <t>(%)</t>
        </is>
      </c>
      <c r="Q5" s="16" t="inlineStr">
        <is>
          <t>(後-前)</t>
        </is>
      </c>
      <c r="R5" s="16" t="inlineStr">
        <is>
          <t>(%)</t>
        </is>
      </c>
      <c r="S5" s="16" t="inlineStr">
        <is>
          <t>(%pt)</t>
        </is>
      </c>
    </row>
    <row r="6">
      <c r="A6" s="17" t="inlineStr">
        <is>
          <t>學員 1</t>
        </is>
      </c>
      <c r="B6" s="18" t="inlineStr">
        <is>
          <t>1. 前測 (第1月)</t>
        </is>
      </c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20">
        <f>IF(COUNT(C6:L6)&gt;0, SUM(C6:L6), "")</f>
        <v/>
      </c>
      <c r="N6" s="21">
        <f>IF(COUNT(C6:L6)&gt;0, AVERAGE(C6:L6), "")</f>
        <v/>
      </c>
      <c r="O6" s="22">
        <f>IF(N6="","",IF(N6&gt;=4.5,"🟢 獨立完成",IF(N6&gt;=3.5,"🔵 口語提示",IF(N6&gt;=2.0,"🟡 肢體/部分協助","🟠 大量協助"))))</f>
        <v/>
      </c>
      <c r="P6" s="23">
        <f>IF(ISNUMBER(M6), M6/50, "")</f>
        <v/>
      </c>
      <c r="Q6" s="24">
        <f>IF(AND(ISNUMBER(M6), ISNUMBER(M8)), M8-M6, "")</f>
        <v/>
      </c>
      <c r="R6" s="25">
        <f>IF(AND(ISNUMBER(M6), ISNUMBER(M8)), IF(M6&gt;0, (M8-M6)/M6, (M8-M6)/50), "")</f>
        <v/>
      </c>
      <c r="S6" s="25">
        <f>IF(AND(ISNUMBER(P6), ISNUMBER(P8)), P8-P6, "")</f>
        <v/>
      </c>
    </row>
    <row r="7">
      <c r="A7" s="26" t="n"/>
      <c r="B7" s="27" t="inlineStr">
        <is>
          <t>2. 課堂 (第2月)</t>
        </is>
      </c>
      <c r="C7" s="19" t="inlineStr"/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19" t="inlineStr"/>
      <c r="L7" s="19" t="inlineStr"/>
      <c r="M7" s="20">
        <f>IF(COUNT(C7:L7)&gt;0, SUM(C7:L7), "")</f>
        <v/>
      </c>
      <c r="N7" s="21">
        <f>IF(COUNT(C7:L7)&gt;0, AVERAGE(C7:L7), "")</f>
        <v/>
      </c>
      <c r="O7" s="22">
        <f>IF(N7="","",IF(N7&gt;=4.5,"🟢 獨立完成",IF(N7&gt;=3.5,"🔵 口語提示",IF(N7&gt;=2.0,"🟡 肢體/部分協助","🟠 大量協助"))))</f>
        <v/>
      </c>
      <c r="P7" s="23">
        <f>IF(ISNUMBER(M7), M7/50, "")</f>
        <v/>
      </c>
      <c r="Q7" s="26" t="n"/>
      <c r="R7" s="26" t="n"/>
      <c r="S7" s="26" t="n"/>
    </row>
    <row r="8">
      <c r="A8" s="26" t="n"/>
      <c r="B8" s="28" t="inlineStr">
        <is>
          <t>3. 後測 (第3月)</t>
        </is>
      </c>
      <c r="C8" s="19" t="inlineStr"/>
      <c r="D8" s="19" t="inlineStr"/>
      <c r="E8" s="19" t="inlineStr"/>
      <c r="F8" s="19" t="inlineStr"/>
      <c r="G8" s="19" t="inlineStr"/>
      <c r="H8" s="19" t="inlineStr"/>
      <c r="I8" s="19" t="inlineStr"/>
      <c r="J8" s="19" t="inlineStr"/>
      <c r="K8" s="19" t="inlineStr"/>
      <c r="L8" s="19" t="inlineStr"/>
      <c r="M8" s="20">
        <f>IF(COUNT(C8:L8)&gt;0, SUM(C8:L8), "")</f>
        <v/>
      </c>
      <c r="N8" s="21">
        <f>IF(COUNT(C8:L8)&gt;0, AVERAGE(C8:L8), "")</f>
        <v/>
      </c>
      <c r="O8" s="22">
        <f>IF(N8="","",IF(N8&gt;=4.5,"🟢 獨立完成",IF(N8&gt;=3.5,"🔵 口語提示",IF(N8&gt;=2.0,"🟡 肢體/部分協助","🟠 大量協助"))))</f>
        <v/>
      </c>
      <c r="P8" s="23">
        <f>IF(ISNUMBER(M8), M8/50, "")</f>
        <v/>
      </c>
      <c r="Q8" s="26" t="n"/>
      <c r="R8" s="26" t="n"/>
      <c r="S8" s="26" t="n"/>
    </row>
    <row r="9">
      <c r="A9" s="17" t="inlineStr">
        <is>
          <t>學員 2</t>
        </is>
      </c>
      <c r="B9" s="18" t="inlineStr">
        <is>
          <t>1. 前測 (第1月)</t>
        </is>
      </c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  <c r="M9" s="20">
        <f>IF(COUNT(C9:L9)&gt;0, SUM(C9:L9), "")</f>
        <v/>
      </c>
      <c r="N9" s="21">
        <f>IF(COUNT(C9:L9)&gt;0, AVERAGE(C9:L9), "")</f>
        <v/>
      </c>
      <c r="O9" s="22">
        <f>IF(N9="","",IF(N9&gt;=4.5,"🟢 獨立完成",IF(N9&gt;=3.5,"🔵 口語提示",IF(N9&gt;=2.0,"🟡 肢體/部分協助","🟠 大量協助"))))</f>
        <v/>
      </c>
      <c r="P9" s="23">
        <f>IF(ISNUMBER(M9), M9/50, "")</f>
        <v/>
      </c>
      <c r="Q9" s="24">
        <f>IF(AND(ISNUMBER(M9), ISNUMBER(M11)), M11-M9, "")</f>
        <v/>
      </c>
      <c r="R9" s="25">
        <f>IF(AND(ISNUMBER(M9), ISNUMBER(M11)), IF(M9&gt;0, (M11-M9)/M9, (M11-M9)/50), "")</f>
        <v/>
      </c>
      <c r="S9" s="25">
        <f>IF(AND(ISNUMBER(P9), ISNUMBER(P11)), P11-P9, "")</f>
        <v/>
      </c>
    </row>
    <row r="10">
      <c r="A10" s="26" t="n"/>
      <c r="B10" s="27" t="inlineStr">
        <is>
          <t>2. 課堂 (第2月)</t>
        </is>
      </c>
      <c r="C10" s="19" t="inlineStr"/>
      <c r="D10" s="19" t="inlineStr"/>
      <c r="E10" s="19" t="inlineStr"/>
      <c r="F10" s="19" t="inlineStr"/>
      <c r="G10" s="19" t="inlineStr"/>
      <c r="H10" s="19" t="inlineStr"/>
      <c r="I10" s="19" t="inlineStr"/>
      <c r="J10" s="19" t="inlineStr"/>
      <c r="K10" s="19" t="inlineStr"/>
      <c r="L10" s="19" t="inlineStr"/>
      <c r="M10" s="20">
        <f>IF(COUNT(C10:L10)&gt;0, SUM(C10:L10), "")</f>
        <v/>
      </c>
      <c r="N10" s="21">
        <f>IF(COUNT(C10:L10)&gt;0, AVERAGE(C10:L10), "")</f>
        <v/>
      </c>
      <c r="O10" s="22">
        <f>IF(N10="","",IF(N10&gt;=4.5,"🟢 獨立完成",IF(N10&gt;=3.5,"🔵 口語提示",IF(N10&gt;=2.0,"🟡 肢體/部分協助","🟠 大量協助"))))</f>
        <v/>
      </c>
      <c r="P10" s="23">
        <f>IF(ISNUMBER(M10), M10/50, "")</f>
        <v/>
      </c>
      <c r="Q10" s="26" t="n"/>
      <c r="R10" s="26" t="n"/>
      <c r="S10" s="26" t="n"/>
    </row>
    <row r="11">
      <c r="A11" s="26" t="n"/>
      <c r="B11" s="28" t="inlineStr">
        <is>
          <t>3. 後測 (第3月)</t>
        </is>
      </c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19" t="inlineStr"/>
      <c r="L11" s="19" t="inlineStr"/>
      <c r="M11" s="20">
        <f>IF(COUNT(C11:L11)&gt;0, SUM(C11:L11), "")</f>
        <v/>
      </c>
      <c r="N11" s="21">
        <f>IF(COUNT(C11:L11)&gt;0, AVERAGE(C11:L11), "")</f>
        <v/>
      </c>
      <c r="O11" s="22">
        <f>IF(N11="","",IF(N11&gt;=4.5,"🟢 獨立完成",IF(N11&gt;=3.5,"🔵 口語提示",IF(N11&gt;=2.0,"🟡 肢體/部分協助","🟠 大量協助"))))</f>
        <v/>
      </c>
      <c r="P11" s="23">
        <f>IF(ISNUMBER(M11), M11/50, "")</f>
        <v/>
      </c>
      <c r="Q11" s="26" t="n"/>
      <c r="R11" s="26" t="n"/>
      <c r="S11" s="26" t="n"/>
    </row>
    <row r="12">
      <c r="A12" s="17" t="inlineStr">
        <is>
          <t>學員 3</t>
        </is>
      </c>
      <c r="B12" s="18" t="inlineStr">
        <is>
          <t>1. 前測 (第1月)</t>
        </is>
      </c>
      <c r="C12" s="19" t="inlineStr"/>
      <c r="D12" s="19" t="inlineStr"/>
      <c r="E12" s="19" t="inlineStr"/>
      <c r="F12" s="19" t="inlineStr"/>
      <c r="G12" s="19" t="inlineStr"/>
      <c r="H12" s="19" t="inlineStr"/>
      <c r="I12" s="19" t="inlineStr"/>
      <c r="J12" s="19" t="inlineStr"/>
      <c r="K12" s="19" t="inlineStr"/>
      <c r="L12" s="19" t="inlineStr"/>
      <c r="M12" s="20">
        <f>IF(COUNT(C12:L12)&gt;0, SUM(C12:L12), "")</f>
        <v/>
      </c>
      <c r="N12" s="21">
        <f>IF(COUNT(C12:L12)&gt;0, AVERAGE(C12:L12), "")</f>
        <v/>
      </c>
      <c r="O12" s="22">
        <f>IF(N12="","",IF(N12&gt;=4.5,"🟢 獨立完成",IF(N12&gt;=3.5,"🔵 口語提示",IF(N12&gt;=2.0,"🟡 肢體/部分協助","🟠 大量協助"))))</f>
        <v/>
      </c>
      <c r="P12" s="23">
        <f>IF(ISNUMBER(M12), M12/50, "")</f>
        <v/>
      </c>
      <c r="Q12" s="24">
        <f>IF(AND(ISNUMBER(M12), ISNUMBER(M14)), M14-M12, "")</f>
        <v/>
      </c>
      <c r="R12" s="25">
        <f>IF(AND(ISNUMBER(M12), ISNUMBER(M14)), IF(M12&gt;0, (M14-M12)/M12, (M14-M12)/50), "")</f>
        <v/>
      </c>
      <c r="S12" s="25">
        <f>IF(AND(ISNUMBER(P12), ISNUMBER(P14)), P14-P12, "")</f>
        <v/>
      </c>
    </row>
    <row r="13">
      <c r="A13" s="26" t="n"/>
      <c r="B13" s="27" t="inlineStr">
        <is>
          <t>2. 課堂 (第2月)</t>
        </is>
      </c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  <c r="M13" s="20">
        <f>IF(COUNT(C13:L13)&gt;0, SUM(C13:L13), "")</f>
        <v/>
      </c>
      <c r="N13" s="21">
        <f>IF(COUNT(C13:L13)&gt;0, AVERAGE(C13:L13), "")</f>
        <v/>
      </c>
      <c r="O13" s="22">
        <f>IF(N13="","",IF(N13&gt;=4.5,"🟢 獨立完成",IF(N13&gt;=3.5,"🔵 口語提示",IF(N13&gt;=2.0,"🟡 肢體/部分協助","🟠 大量協助"))))</f>
        <v/>
      </c>
      <c r="P13" s="23">
        <f>IF(ISNUMBER(M13), M13/50, "")</f>
        <v/>
      </c>
      <c r="Q13" s="26" t="n"/>
      <c r="R13" s="26" t="n"/>
      <c r="S13" s="26" t="n"/>
    </row>
    <row r="14">
      <c r="A14" s="26" t="n"/>
      <c r="B14" s="28" t="inlineStr">
        <is>
          <t>3. 後測 (第3月)</t>
        </is>
      </c>
      <c r="C14" s="19" t="inlineStr"/>
      <c r="D14" s="19" t="inlineStr"/>
      <c r="E14" s="19" t="inlineStr"/>
      <c r="F14" s="19" t="inlineStr"/>
      <c r="G14" s="19" t="inlineStr"/>
      <c r="H14" s="19" t="inlineStr"/>
      <c r="I14" s="19" t="inlineStr"/>
      <c r="J14" s="19" t="inlineStr"/>
      <c r="K14" s="19" t="inlineStr"/>
      <c r="L14" s="19" t="inlineStr"/>
      <c r="M14" s="20">
        <f>IF(COUNT(C14:L14)&gt;0, SUM(C14:L14), "")</f>
        <v/>
      </c>
      <c r="N14" s="21">
        <f>IF(COUNT(C14:L14)&gt;0, AVERAGE(C14:L14), "")</f>
        <v/>
      </c>
      <c r="O14" s="22">
        <f>IF(N14="","",IF(N14&gt;=4.5,"🟢 獨立完成",IF(N14&gt;=3.5,"🔵 口語提示",IF(N14&gt;=2.0,"🟡 肢體/部分協助","🟠 大量協助"))))</f>
        <v/>
      </c>
      <c r="P14" s="23">
        <f>IF(ISNUMBER(M14), M14/50, "")</f>
        <v/>
      </c>
      <c r="Q14" s="26" t="n"/>
      <c r="R14" s="26" t="n"/>
      <c r="S14" s="26" t="n"/>
    </row>
    <row r="15">
      <c r="A15" s="17" t="inlineStr">
        <is>
          <t>學員 4</t>
        </is>
      </c>
      <c r="B15" s="18" t="inlineStr">
        <is>
          <t>1. 前測 (第1月)</t>
        </is>
      </c>
      <c r="C15" s="19" t="inlineStr"/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9" t="inlineStr"/>
      <c r="L15" s="19" t="inlineStr"/>
      <c r="M15" s="20">
        <f>IF(COUNT(C15:L15)&gt;0, SUM(C15:L15), "")</f>
        <v/>
      </c>
      <c r="N15" s="21">
        <f>IF(COUNT(C15:L15)&gt;0, AVERAGE(C15:L15), "")</f>
        <v/>
      </c>
      <c r="O15" s="22">
        <f>IF(N15="","",IF(N15&gt;=4.5,"🟢 獨立完成",IF(N15&gt;=3.5,"🔵 口語提示",IF(N15&gt;=2.0,"🟡 肢體/部分協助","🟠 大量協助"))))</f>
        <v/>
      </c>
      <c r="P15" s="23">
        <f>IF(ISNUMBER(M15), M15/50, "")</f>
        <v/>
      </c>
      <c r="Q15" s="24">
        <f>IF(AND(ISNUMBER(M15), ISNUMBER(M17)), M17-M15, "")</f>
        <v/>
      </c>
      <c r="R15" s="25">
        <f>IF(AND(ISNUMBER(M15), ISNUMBER(M17)), IF(M15&gt;0, (M17-M15)/M15, (M17-M15)/50), "")</f>
        <v/>
      </c>
      <c r="S15" s="25">
        <f>IF(AND(ISNUMBER(P15), ISNUMBER(P17)), P17-P15, "")</f>
        <v/>
      </c>
    </row>
    <row r="16">
      <c r="A16" s="26" t="n"/>
      <c r="B16" s="27" t="inlineStr">
        <is>
          <t>2. 課堂 (第2月)</t>
        </is>
      </c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9" t="inlineStr"/>
      <c r="L16" s="19" t="inlineStr"/>
      <c r="M16" s="20">
        <f>IF(COUNT(C16:L16)&gt;0, SUM(C16:L16), "")</f>
        <v/>
      </c>
      <c r="N16" s="21">
        <f>IF(COUNT(C16:L16)&gt;0, AVERAGE(C16:L16), "")</f>
        <v/>
      </c>
      <c r="O16" s="22">
        <f>IF(N16="","",IF(N16&gt;=4.5,"🟢 獨立完成",IF(N16&gt;=3.5,"🔵 口語提示",IF(N16&gt;=2.0,"🟡 肢體/部分協助","🟠 大量協助"))))</f>
        <v/>
      </c>
      <c r="P16" s="23">
        <f>IF(ISNUMBER(M16), M16/50, "")</f>
        <v/>
      </c>
      <c r="Q16" s="26" t="n"/>
      <c r="R16" s="26" t="n"/>
      <c r="S16" s="26" t="n"/>
    </row>
    <row r="17">
      <c r="A17" s="26" t="n"/>
      <c r="B17" s="28" t="inlineStr">
        <is>
          <t>3. 後測 (第3月)</t>
        </is>
      </c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  <c r="M17" s="20">
        <f>IF(COUNT(C17:L17)&gt;0, SUM(C17:L17), "")</f>
        <v/>
      </c>
      <c r="N17" s="21">
        <f>IF(COUNT(C17:L17)&gt;0, AVERAGE(C17:L17), "")</f>
        <v/>
      </c>
      <c r="O17" s="22">
        <f>IF(N17="","",IF(N17&gt;=4.5,"🟢 獨立完成",IF(N17&gt;=3.5,"🔵 口語提示",IF(N17&gt;=2.0,"🟡 肢體/部分協助","🟠 大量協助"))))</f>
        <v/>
      </c>
      <c r="P17" s="23">
        <f>IF(ISNUMBER(M17), M17/50, "")</f>
        <v/>
      </c>
      <c r="Q17" s="26" t="n"/>
      <c r="R17" s="26" t="n"/>
      <c r="S17" s="26" t="n"/>
    </row>
    <row r="18">
      <c r="A18" s="17" t="inlineStr">
        <is>
          <t>學員 5</t>
        </is>
      </c>
      <c r="B18" s="18" t="inlineStr">
        <is>
          <t>1. 前測 (第1月)</t>
        </is>
      </c>
      <c r="C18" s="19" t="inlineStr"/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9" t="inlineStr"/>
      <c r="L18" s="19" t="inlineStr"/>
      <c r="M18" s="20">
        <f>IF(COUNT(C18:L18)&gt;0, SUM(C18:L18), "")</f>
        <v/>
      </c>
      <c r="N18" s="21">
        <f>IF(COUNT(C18:L18)&gt;0, AVERAGE(C18:L18), "")</f>
        <v/>
      </c>
      <c r="O18" s="22">
        <f>IF(N18="","",IF(N18&gt;=4.5,"🟢 獨立完成",IF(N18&gt;=3.5,"🔵 口語提示",IF(N18&gt;=2.0,"🟡 肢體/部分協助","🟠 大量協助"))))</f>
        <v/>
      </c>
      <c r="P18" s="23">
        <f>IF(ISNUMBER(M18), M18/50, "")</f>
        <v/>
      </c>
      <c r="Q18" s="24">
        <f>IF(AND(ISNUMBER(M18), ISNUMBER(M20)), M20-M18, "")</f>
        <v/>
      </c>
      <c r="R18" s="25">
        <f>IF(AND(ISNUMBER(M18), ISNUMBER(M20)), IF(M18&gt;0, (M20-M18)/M18, (M20-M18)/50), "")</f>
        <v/>
      </c>
      <c r="S18" s="25">
        <f>IF(AND(ISNUMBER(P18), ISNUMBER(P20)), P20-P18, "")</f>
        <v/>
      </c>
    </row>
    <row r="19">
      <c r="A19" s="26" t="n"/>
      <c r="B19" s="27" t="inlineStr">
        <is>
          <t>2. 課堂 (第2月)</t>
        </is>
      </c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9" t="inlineStr"/>
      <c r="L19" s="19" t="inlineStr"/>
      <c r="M19" s="20">
        <f>IF(COUNT(C19:L19)&gt;0, SUM(C19:L19), "")</f>
        <v/>
      </c>
      <c r="N19" s="21">
        <f>IF(COUNT(C19:L19)&gt;0, AVERAGE(C19:L19), "")</f>
        <v/>
      </c>
      <c r="O19" s="22">
        <f>IF(N19="","",IF(N19&gt;=4.5,"🟢 獨立完成",IF(N19&gt;=3.5,"🔵 口語提示",IF(N19&gt;=2.0,"🟡 肢體/部分協助","🟠 大量協助"))))</f>
        <v/>
      </c>
      <c r="P19" s="23">
        <f>IF(ISNUMBER(M19), M19/50, "")</f>
        <v/>
      </c>
      <c r="Q19" s="26" t="n"/>
      <c r="R19" s="26" t="n"/>
      <c r="S19" s="26" t="n"/>
    </row>
    <row r="20">
      <c r="A20" s="26" t="n"/>
      <c r="B20" s="28" t="inlineStr">
        <is>
          <t>3. 後測 (第3月)</t>
        </is>
      </c>
      <c r="C20" s="19" t="inlineStr"/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9" t="inlineStr"/>
      <c r="L20" s="19" t="inlineStr"/>
      <c r="M20" s="20">
        <f>IF(COUNT(C20:L20)&gt;0, SUM(C20:L20), "")</f>
        <v/>
      </c>
      <c r="N20" s="21">
        <f>IF(COUNT(C20:L20)&gt;0, AVERAGE(C20:L20), "")</f>
        <v/>
      </c>
      <c r="O20" s="22">
        <f>IF(N20="","",IF(N20&gt;=4.5,"🟢 獨立完成",IF(N20&gt;=3.5,"🔵 口語提示",IF(N20&gt;=2.0,"🟡 肢體/部分協助","🟠 大量協助"))))</f>
        <v/>
      </c>
      <c r="P20" s="23">
        <f>IF(ISNUMBER(M20), M20/50, "")</f>
        <v/>
      </c>
      <c r="Q20" s="26" t="n"/>
      <c r="R20" s="26" t="n"/>
      <c r="S20" s="26" t="n"/>
    </row>
    <row r="21">
      <c r="A21" s="17" t="inlineStr">
        <is>
          <t>學員 6</t>
        </is>
      </c>
      <c r="B21" s="18" t="inlineStr">
        <is>
          <t>1. 前測 (第1月)</t>
        </is>
      </c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  <c r="M21" s="20">
        <f>IF(COUNT(C21:L21)&gt;0, SUM(C21:L21), "")</f>
        <v/>
      </c>
      <c r="N21" s="21">
        <f>IF(COUNT(C21:L21)&gt;0, AVERAGE(C21:L21), "")</f>
        <v/>
      </c>
      <c r="O21" s="22">
        <f>IF(N21="","",IF(N21&gt;=4.5,"🟢 獨立完成",IF(N21&gt;=3.5,"🔵 口語提示",IF(N21&gt;=2.0,"🟡 肢體/部分協助","🟠 大量協助"))))</f>
        <v/>
      </c>
      <c r="P21" s="23">
        <f>IF(ISNUMBER(M21), M21/50, "")</f>
        <v/>
      </c>
      <c r="Q21" s="24">
        <f>IF(AND(ISNUMBER(M21), ISNUMBER(M23)), M23-M21, "")</f>
        <v/>
      </c>
      <c r="R21" s="25">
        <f>IF(AND(ISNUMBER(M21), ISNUMBER(M23)), IF(M21&gt;0, (M23-M21)/M21, (M23-M21)/50), "")</f>
        <v/>
      </c>
      <c r="S21" s="25">
        <f>IF(AND(ISNUMBER(P21), ISNUMBER(P23)), P23-P21, "")</f>
        <v/>
      </c>
    </row>
    <row r="22">
      <c r="A22" s="26" t="n"/>
      <c r="B22" s="27" t="inlineStr">
        <is>
          <t>2. 課堂 (第2月)</t>
        </is>
      </c>
      <c r="C22" s="19" t="inlineStr"/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9" t="inlineStr"/>
      <c r="L22" s="19" t="inlineStr"/>
      <c r="M22" s="20">
        <f>IF(COUNT(C22:L22)&gt;0, SUM(C22:L22), "")</f>
        <v/>
      </c>
      <c r="N22" s="21">
        <f>IF(COUNT(C22:L22)&gt;0, AVERAGE(C22:L22), "")</f>
        <v/>
      </c>
      <c r="O22" s="22">
        <f>IF(N22="","",IF(N22&gt;=4.5,"🟢 獨立完成",IF(N22&gt;=3.5,"🔵 口語提示",IF(N22&gt;=2.0,"🟡 肢體/部分協助","🟠 大量協助"))))</f>
        <v/>
      </c>
      <c r="P22" s="23">
        <f>IF(ISNUMBER(M22), M22/50, "")</f>
        <v/>
      </c>
      <c r="Q22" s="26" t="n"/>
      <c r="R22" s="26" t="n"/>
      <c r="S22" s="26" t="n"/>
    </row>
    <row r="23">
      <c r="A23" s="26" t="n"/>
      <c r="B23" s="28" t="inlineStr">
        <is>
          <t>3. 後測 (第3月)</t>
        </is>
      </c>
      <c r="C23" s="19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  <c r="L23" s="19" t="inlineStr"/>
      <c r="M23" s="20">
        <f>IF(COUNT(C23:L23)&gt;0, SUM(C23:L23), "")</f>
        <v/>
      </c>
      <c r="N23" s="21">
        <f>IF(COUNT(C23:L23)&gt;0, AVERAGE(C23:L23), "")</f>
        <v/>
      </c>
      <c r="O23" s="22">
        <f>IF(N23="","",IF(N23&gt;=4.5,"🟢 獨立完成",IF(N23&gt;=3.5,"🔵 口語提示",IF(N23&gt;=2.0,"🟡 肢體/部分協助","🟠 大量協助"))))</f>
        <v/>
      </c>
      <c r="P23" s="23">
        <f>IF(ISNUMBER(M23), M23/50, "")</f>
        <v/>
      </c>
      <c r="Q23" s="26" t="n"/>
      <c r="R23" s="26" t="n"/>
      <c r="S23" s="26" t="n"/>
    </row>
    <row r="24">
      <c r="A24" s="17" t="inlineStr">
        <is>
          <t>學員 7</t>
        </is>
      </c>
      <c r="B24" s="18" t="inlineStr">
        <is>
          <t>1. 前測 (第1月)</t>
        </is>
      </c>
      <c r="C24" s="19" t="inlineStr"/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19" t="inlineStr"/>
      <c r="L24" s="19" t="inlineStr"/>
      <c r="M24" s="20">
        <f>IF(COUNT(C24:L24)&gt;0, SUM(C24:L24), "")</f>
        <v/>
      </c>
      <c r="N24" s="21">
        <f>IF(COUNT(C24:L24)&gt;0, AVERAGE(C24:L24), "")</f>
        <v/>
      </c>
      <c r="O24" s="22">
        <f>IF(N24="","",IF(N24&gt;=4.5,"🟢 獨立完成",IF(N24&gt;=3.5,"🔵 口語提示",IF(N24&gt;=2.0,"🟡 肢體/部分協助","🟠 大量協助"))))</f>
        <v/>
      </c>
      <c r="P24" s="23">
        <f>IF(ISNUMBER(M24), M24/50, "")</f>
        <v/>
      </c>
      <c r="Q24" s="24">
        <f>IF(AND(ISNUMBER(M24), ISNUMBER(M26)), M26-M24, "")</f>
        <v/>
      </c>
      <c r="R24" s="25">
        <f>IF(AND(ISNUMBER(M24), ISNUMBER(M26)), IF(M24&gt;0, (M26-M24)/M24, (M26-M24)/50), "")</f>
        <v/>
      </c>
      <c r="S24" s="25">
        <f>IF(AND(ISNUMBER(P24), ISNUMBER(P26)), P26-P24, "")</f>
        <v/>
      </c>
    </row>
    <row r="25">
      <c r="A25" s="26" t="n"/>
      <c r="B25" s="27" t="inlineStr">
        <is>
          <t>2. 課堂 (第2月)</t>
        </is>
      </c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19" t="inlineStr"/>
      <c r="L25" s="19" t="inlineStr"/>
      <c r="M25" s="20">
        <f>IF(COUNT(C25:L25)&gt;0, SUM(C25:L25), "")</f>
        <v/>
      </c>
      <c r="N25" s="21">
        <f>IF(COUNT(C25:L25)&gt;0, AVERAGE(C25:L25), "")</f>
        <v/>
      </c>
      <c r="O25" s="22">
        <f>IF(N25="","",IF(N25&gt;=4.5,"🟢 獨立完成",IF(N25&gt;=3.5,"🔵 口語提示",IF(N25&gt;=2.0,"🟡 肢體/部分協助","🟠 大量協助"))))</f>
        <v/>
      </c>
      <c r="P25" s="23">
        <f>IF(ISNUMBER(M25), M25/50, "")</f>
        <v/>
      </c>
      <c r="Q25" s="26" t="n"/>
      <c r="R25" s="26" t="n"/>
      <c r="S25" s="26" t="n"/>
    </row>
    <row r="26">
      <c r="A26" s="26" t="n"/>
      <c r="B26" s="28" t="inlineStr">
        <is>
          <t>3. 後測 (第3月)</t>
        </is>
      </c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  <c r="J26" s="19" t="inlineStr"/>
      <c r="K26" s="19" t="inlineStr"/>
      <c r="L26" s="19" t="inlineStr"/>
      <c r="M26" s="20">
        <f>IF(COUNT(C26:L26)&gt;0, SUM(C26:L26), "")</f>
        <v/>
      </c>
      <c r="N26" s="21">
        <f>IF(COUNT(C26:L26)&gt;0, AVERAGE(C26:L26), "")</f>
        <v/>
      </c>
      <c r="O26" s="22">
        <f>IF(N26="","",IF(N26&gt;=4.5,"🟢 獨立完成",IF(N26&gt;=3.5,"🔵 口語提示",IF(N26&gt;=2.0,"🟡 肢體/部分協助","🟠 大量協助"))))</f>
        <v/>
      </c>
      <c r="P26" s="23">
        <f>IF(ISNUMBER(M26), M26/50, "")</f>
        <v/>
      </c>
      <c r="Q26" s="26" t="n"/>
      <c r="R26" s="26" t="n"/>
      <c r="S26" s="26" t="n"/>
    </row>
    <row r="27">
      <c r="A27" s="17" t="inlineStr">
        <is>
          <t>學員 8</t>
        </is>
      </c>
      <c r="B27" s="18" t="inlineStr">
        <is>
          <t>1. 前測 (第1月)</t>
        </is>
      </c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  <c r="M27" s="20">
        <f>IF(COUNT(C27:L27)&gt;0, SUM(C27:L27), "")</f>
        <v/>
      </c>
      <c r="N27" s="21">
        <f>IF(COUNT(C27:L27)&gt;0, AVERAGE(C27:L27), "")</f>
        <v/>
      </c>
      <c r="O27" s="22">
        <f>IF(N27="","",IF(N27&gt;=4.5,"🟢 獨立完成",IF(N27&gt;=3.5,"🔵 口語提示",IF(N27&gt;=2.0,"🟡 肢體/部分協助","🟠 大量協助"))))</f>
        <v/>
      </c>
      <c r="P27" s="23">
        <f>IF(ISNUMBER(M27), M27/50, "")</f>
        <v/>
      </c>
      <c r="Q27" s="24">
        <f>IF(AND(ISNUMBER(M27), ISNUMBER(M29)), M29-M27, "")</f>
        <v/>
      </c>
      <c r="R27" s="25">
        <f>IF(AND(ISNUMBER(M27), ISNUMBER(M29)), IF(M27&gt;0, (M29-M27)/M27, (M29-M27)/50), "")</f>
        <v/>
      </c>
      <c r="S27" s="25">
        <f>IF(AND(ISNUMBER(P27), ISNUMBER(P29)), P29-P27, "")</f>
        <v/>
      </c>
    </row>
    <row r="28">
      <c r="A28" s="26" t="n"/>
      <c r="B28" s="27" t="inlineStr">
        <is>
          <t>2. 課堂 (第2月)</t>
        </is>
      </c>
      <c r="C28" s="19" t="inlineStr"/>
      <c r="D28" s="19" t="inlineStr"/>
      <c r="E28" s="19" t="inlineStr"/>
      <c r="F28" s="19" t="inlineStr"/>
      <c r="G28" s="19" t="inlineStr"/>
      <c r="H28" s="19" t="inlineStr"/>
      <c r="I28" s="19" t="inlineStr"/>
      <c r="J28" s="19" t="inlineStr"/>
      <c r="K28" s="19" t="inlineStr"/>
      <c r="L28" s="19" t="inlineStr"/>
      <c r="M28" s="20">
        <f>IF(COUNT(C28:L28)&gt;0, SUM(C28:L28), "")</f>
        <v/>
      </c>
      <c r="N28" s="21">
        <f>IF(COUNT(C28:L28)&gt;0, AVERAGE(C28:L28), "")</f>
        <v/>
      </c>
      <c r="O28" s="22">
        <f>IF(N28="","",IF(N28&gt;=4.5,"🟢 獨立完成",IF(N28&gt;=3.5,"🔵 口語提示",IF(N28&gt;=2.0,"🟡 肢體/部分協助","🟠 大量協助"))))</f>
        <v/>
      </c>
      <c r="P28" s="23">
        <f>IF(ISNUMBER(M28), M28/50, "")</f>
        <v/>
      </c>
      <c r="Q28" s="26" t="n"/>
      <c r="R28" s="26" t="n"/>
      <c r="S28" s="26" t="n"/>
    </row>
    <row r="29">
      <c r="A29" s="26" t="n"/>
      <c r="B29" s="28" t="inlineStr">
        <is>
          <t>3. 後測 (第3月)</t>
        </is>
      </c>
      <c r="C29" s="19" t="inlineStr"/>
      <c r="D29" s="19" t="inlineStr"/>
      <c r="E29" s="19" t="inlineStr"/>
      <c r="F29" s="19" t="inlineStr"/>
      <c r="G29" s="19" t="inlineStr"/>
      <c r="H29" s="19" t="inlineStr"/>
      <c r="I29" s="19" t="inlineStr"/>
      <c r="J29" s="19" t="inlineStr"/>
      <c r="K29" s="19" t="inlineStr"/>
      <c r="L29" s="19" t="inlineStr"/>
      <c r="M29" s="20">
        <f>IF(COUNT(C29:L29)&gt;0, SUM(C29:L29), "")</f>
        <v/>
      </c>
      <c r="N29" s="21">
        <f>IF(COUNT(C29:L29)&gt;0, AVERAGE(C29:L29), "")</f>
        <v/>
      </c>
      <c r="O29" s="22">
        <f>IF(N29="","",IF(N29&gt;=4.5,"🟢 獨立完成",IF(N29&gt;=3.5,"🔵 口語提示",IF(N29&gt;=2.0,"🟡 肢體/部分協助","🟠 大量協助"))))</f>
        <v/>
      </c>
      <c r="P29" s="23">
        <f>IF(ISNUMBER(M29), M29/50, "")</f>
        <v/>
      </c>
      <c r="Q29" s="26" t="n"/>
      <c r="R29" s="26" t="n"/>
      <c r="S29" s="26" t="n"/>
    </row>
    <row r="30">
      <c r="A30" s="29" t="inlineStr">
        <is>
          <t>全班平均常模</t>
        </is>
      </c>
      <c r="C30" s="30">
        <f>IFERROR(AVERAGE(C6:C29), "-")</f>
        <v/>
      </c>
      <c r="D30" s="30">
        <f>IFERROR(AVERAGE(D6:D29), "-")</f>
        <v/>
      </c>
      <c r="E30" s="30">
        <f>IFERROR(AVERAGE(E6:E29), "-")</f>
        <v/>
      </c>
      <c r="F30" s="30">
        <f>IFERROR(AVERAGE(F6:F29), "-")</f>
        <v/>
      </c>
      <c r="G30" s="30">
        <f>IFERROR(AVERAGE(G6:G29), "-")</f>
        <v/>
      </c>
      <c r="H30" s="30">
        <f>IFERROR(AVERAGE(H6:H29), "-")</f>
        <v/>
      </c>
      <c r="I30" s="30">
        <f>IFERROR(AVERAGE(I6:I29), "-")</f>
        <v/>
      </c>
      <c r="J30" s="30">
        <f>IFERROR(AVERAGE(J6:J29), "-")</f>
        <v/>
      </c>
      <c r="K30" s="30">
        <f>IFERROR(AVERAGE(K6:K29), "-")</f>
        <v/>
      </c>
      <c r="L30" s="30">
        <f>IFERROR(AVERAGE(L6:L29), "-")</f>
        <v/>
      </c>
      <c r="M30" s="30">
        <f>IFERROR(AVERAGE(M6:M29), "-")</f>
        <v/>
      </c>
      <c r="N30" s="30">
        <f>IFERROR(AVERAGE(N6:N29), "-")</f>
        <v/>
      </c>
      <c r="O30" s="30" t="inlineStr">
        <is>
          <t>-</t>
        </is>
      </c>
      <c r="P30" s="30">
        <f>IFERROR(AVERAGE(P6:P29), "-")</f>
        <v/>
      </c>
      <c r="Q30" s="30">
        <f>IFERROR(AVERAGE(Q6:Q29), "-")</f>
        <v/>
      </c>
      <c r="R30" s="30">
        <f>IFERROR(AVERAGE(R6:R29), "-")</f>
        <v/>
      </c>
      <c r="S30" s="30">
        <f>IFERROR(AVERAGE(S6:S29), "-")</f>
        <v/>
      </c>
    </row>
    <row r="33">
      <c r="A33" s="31" t="inlineStr">
        <is>
          <t>【Q1 檢核指標項目清單參照】</t>
        </is>
      </c>
    </row>
    <row r="34">
      <c r="A34" s="32" t="inlineStr">
        <is>
          <t>指標 1</t>
        </is>
      </c>
      <c r="B34" s="33" t="inlineStr">
        <is>
          <t>1. 能說出需要洗手的時機（如飯前、便後、擤鼻涕後等）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</row>
    <row r="35">
      <c r="A35" s="32" t="inlineStr">
        <is>
          <t>指標 2</t>
        </is>
      </c>
      <c r="B35" s="33" t="inlineStr">
        <is>
          <t>2. 能正確執行內外夾弓大立腕洗手步驟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</row>
    <row r="36">
      <c r="A36" s="32" t="inlineStr">
        <is>
          <t>指標 3</t>
        </is>
      </c>
      <c r="B36" s="33" t="inlineStr">
        <is>
          <t>3. 能將雙手搓洗至乾淨並以流動水沖洗乾淨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</row>
    <row r="37">
      <c r="A37" s="32" t="inlineStr">
        <is>
          <t>指標 4</t>
        </is>
      </c>
      <c r="B37" s="33" t="inlineStr">
        <is>
          <t>4. 能正確拿取牙刷及牙膏並擠出適當量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>
      <c r="A38" s="32" t="inlineStr">
        <is>
          <t>指標 5</t>
        </is>
      </c>
      <c r="B38" s="33" t="inlineStr">
        <is>
          <t>5. 能維持適當角度（貝氏刷牙法）刷牙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>
      <c r="A39" s="32" t="inlineStr">
        <is>
          <t>指標 6</t>
        </is>
      </c>
      <c r="B39" s="33" t="inlineStr">
        <is>
          <t>6. 能依序清潔牙齒各區域（內側、外側、咬合面）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>
      <c r="A40" s="32" t="inlineStr">
        <is>
          <t>指標 7</t>
        </is>
      </c>
      <c r="B40" s="33" t="inlineStr">
        <is>
          <t>7. 能用流動水清潔傷口及周圍髒污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>
      <c r="A41" s="32" t="inlineStr">
        <is>
          <t>指標 8</t>
        </is>
      </c>
      <c r="B41" s="33" t="inlineStr">
        <is>
          <t>8. 能正確撕開並使用OK繃／透氣膠帶包紮傷口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</row>
    <row r="42">
      <c r="A42" s="32" t="inlineStr">
        <is>
          <t>指標 9</t>
        </is>
      </c>
      <c r="B42" s="33" t="inlineStr">
        <is>
          <t>9. 止鼻血時能保持頭部微前傾並正確加壓止血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</row>
    <row r="43">
      <c r="A43" s="32" t="inlineStr">
        <is>
          <t>指標 10</t>
        </is>
      </c>
      <c r="B43" s="33" t="inlineStr">
        <is>
          <t>10. 止血或傷口護理時，能知道何時需尋求支持者協助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</row>
  </sheetData>
  <mergeCells count="47">
    <mergeCell ref="B35:L35"/>
    <mergeCell ref="Q9:Q11"/>
    <mergeCell ref="A21:A23"/>
    <mergeCell ref="A30:B30"/>
    <mergeCell ref="S9:S11"/>
    <mergeCell ref="A12:A14"/>
    <mergeCell ref="A1:S2"/>
    <mergeCell ref="Q6:Q8"/>
    <mergeCell ref="Q15:Q17"/>
    <mergeCell ref="S15:S17"/>
    <mergeCell ref="S24:S26"/>
    <mergeCell ref="Q27:Q29"/>
    <mergeCell ref="R18:R20"/>
    <mergeCell ref="B43:L43"/>
    <mergeCell ref="R9:R11"/>
    <mergeCell ref="B41:L41"/>
    <mergeCell ref="B39:L39"/>
    <mergeCell ref="A15:A17"/>
    <mergeCell ref="B42:L42"/>
    <mergeCell ref="A24:A26"/>
    <mergeCell ref="A9:A11"/>
    <mergeCell ref="Q18:Q20"/>
    <mergeCell ref="S18:S20"/>
    <mergeCell ref="Q12:Q14"/>
    <mergeCell ref="B38:L38"/>
    <mergeCell ref="A4:A5"/>
    <mergeCell ref="S12:S14"/>
    <mergeCell ref="Q21:Q23"/>
    <mergeCell ref="S21:S23"/>
    <mergeCell ref="B34:L34"/>
    <mergeCell ref="B37:L37"/>
    <mergeCell ref="S27:S29"/>
    <mergeCell ref="Q24:Q26"/>
    <mergeCell ref="A18:A20"/>
    <mergeCell ref="A6:A8"/>
    <mergeCell ref="R6:R8"/>
    <mergeCell ref="R24:R26"/>
    <mergeCell ref="B40:L40"/>
    <mergeCell ref="B36:L36"/>
    <mergeCell ref="B4:B5"/>
    <mergeCell ref="R12:R14"/>
    <mergeCell ref="R15:R17"/>
    <mergeCell ref="R21:R23"/>
    <mergeCell ref="A3:S3"/>
    <mergeCell ref="R27:R29"/>
    <mergeCell ref="S6:S8"/>
    <mergeCell ref="A27:A2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18" customWidth="1" min="15" max="15"/>
    <col width="10" customWidth="1" min="16" max="16"/>
    <col width="11" customWidth="1" min="17" max="17"/>
    <col width="11" customWidth="1" min="18" max="18"/>
    <col width="13" customWidth="1" min="19" max="19"/>
  </cols>
  <sheetData>
    <row r="1">
      <c r="A1" s="10" t="inlineStr">
        <is>
          <t>第二季 (4~6月)：健康飲食與身體監測 - 學員前測／課堂平時／後測評量打分表</t>
        </is>
      </c>
    </row>
    <row r="2"/>
    <row r="3">
      <c r="A3" s="11" t="inlineStr">
        <is>
          <t>【評分提示等級】5:可獨立完成 ｜ 4:口語提示 ｜ 3:肢體協助 ｜ 2:部分協助 ｜ 1:大量協助 ｜ 0:無法完成 (在指標 1~10 欄位填入 0~5 分)</t>
        </is>
      </c>
    </row>
    <row r="4">
      <c r="A4" s="12" t="inlineStr">
        <is>
          <t>學員姓名</t>
        </is>
      </c>
      <c r="B4" s="12" t="inlineStr">
        <is>
          <t>評量階段</t>
        </is>
      </c>
      <c r="C4" s="13" t="inlineStr">
        <is>
          <t>指標 1</t>
        </is>
      </c>
      <c r="D4" s="13" t="inlineStr">
        <is>
          <t>指標 2</t>
        </is>
      </c>
      <c r="E4" s="13" t="inlineStr">
        <is>
          <t>指標 3</t>
        </is>
      </c>
      <c r="F4" s="13" t="inlineStr">
        <is>
          <t>指標 4</t>
        </is>
      </c>
      <c r="G4" s="13" t="inlineStr">
        <is>
          <t>指標 5</t>
        </is>
      </c>
      <c r="H4" s="13" t="inlineStr">
        <is>
          <t>指標 6</t>
        </is>
      </c>
      <c r="I4" s="13" t="inlineStr">
        <is>
          <t>指標 7</t>
        </is>
      </c>
      <c r="J4" s="13" t="inlineStr">
        <is>
          <t>指標 8</t>
        </is>
      </c>
      <c r="K4" s="13" t="inlineStr">
        <is>
          <t>指標 9</t>
        </is>
      </c>
      <c r="L4" s="13" t="inlineStr">
        <is>
          <t>指標 10</t>
        </is>
      </c>
      <c r="M4" s="14" t="inlineStr">
        <is>
          <t>總得分</t>
        </is>
      </c>
      <c r="N4" s="14" t="inlineStr">
        <is>
          <t>平均分</t>
        </is>
      </c>
      <c r="O4" s="14" t="inlineStr">
        <is>
          <t>學習階段判定</t>
        </is>
      </c>
      <c r="P4" s="14" t="inlineStr">
        <is>
          <t>達成率</t>
        </is>
      </c>
      <c r="Q4" s="14" t="inlineStr">
        <is>
          <t>進步分數</t>
        </is>
      </c>
      <c r="R4" s="14" t="inlineStr">
        <is>
          <t>進步率</t>
        </is>
      </c>
      <c r="S4" s="14" t="inlineStr">
        <is>
          <t>成長百分點</t>
        </is>
      </c>
    </row>
    <row r="5">
      <c r="C5" s="15" t="inlineStr">
        <is>
          <t>(0~5分)</t>
        </is>
      </c>
      <c r="D5" s="15" t="inlineStr">
        <is>
          <t>(0~5分)</t>
        </is>
      </c>
      <c r="E5" s="15" t="inlineStr">
        <is>
          <t>(0~5分)</t>
        </is>
      </c>
      <c r="F5" s="15" t="inlineStr">
        <is>
          <t>(0~5分)</t>
        </is>
      </c>
      <c r="G5" s="15" t="inlineStr">
        <is>
          <t>(0~5分)</t>
        </is>
      </c>
      <c r="H5" s="15" t="inlineStr">
        <is>
          <t>(0~5分)</t>
        </is>
      </c>
      <c r="I5" s="15" t="inlineStr">
        <is>
          <t>(0~5分)</t>
        </is>
      </c>
      <c r="J5" s="15" t="inlineStr">
        <is>
          <t>(0~5分)</t>
        </is>
      </c>
      <c r="K5" s="15" t="inlineStr">
        <is>
          <t>(0~5分)</t>
        </is>
      </c>
      <c r="L5" s="15" t="inlineStr">
        <is>
          <t>(0~5分)</t>
        </is>
      </c>
      <c r="M5" s="16" t="inlineStr">
        <is>
          <t>(滿分50)</t>
        </is>
      </c>
      <c r="N5" s="16" t="inlineStr">
        <is>
          <t>(0~5分)</t>
        </is>
      </c>
      <c r="O5" s="16" t="inlineStr">
        <is>
          <t>(等級標記)</t>
        </is>
      </c>
      <c r="P5" s="16" t="inlineStr">
        <is>
          <t>(%)</t>
        </is>
      </c>
      <c r="Q5" s="16" t="inlineStr">
        <is>
          <t>(後-前)</t>
        </is>
      </c>
      <c r="R5" s="16" t="inlineStr">
        <is>
          <t>(%)</t>
        </is>
      </c>
      <c r="S5" s="16" t="inlineStr">
        <is>
          <t>(%pt)</t>
        </is>
      </c>
    </row>
    <row r="6">
      <c r="A6" s="17" t="inlineStr">
        <is>
          <t>學員 1</t>
        </is>
      </c>
      <c r="B6" s="18" t="inlineStr">
        <is>
          <t>1. 前測 (第1月)</t>
        </is>
      </c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20">
        <f>IF(COUNT(C6:L6)&gt;0, SUM(C6:L6), "")</f>
        <v/>
      </c>
      <c r="N6" s="21">
        <f>IF(COUNT(C6:L6)&gt;0, AVERAGE(C6:L6), "")</f>
        <v/>
      </c>
      <c r="O6" s="22">
        <f>IF(N6="","",IF(N6&gt;=4.5,"🟢 獨立完成",IF(N6&gt;=3.5,"🔵 口語提示",IF(N6&gt;=2.0,"🟡 肢體/部分協助","🟠 大量協助"))))</f>
        <v/>
      </c>
      <c r="P6" s="23">
        <f>IF(ISNUMBER(M6), M6/50, "")</f>
        <v/>
      </c>
      <c r="Q6" s="24">
        <f>IF(AND(ISNUMBER(M6), ISNUMBER(M8)), M8-M6, "")</f>
        <v/>
      </c>
      <c r="R6" s="25">
        <f>IF(AND(ISNUMBER(M6), ISNUMBER(M8)), IF(M6&gt;0, (M8-M6)/M6, (M8-M6)/50), "")</f>
        <v/>
      </c>
      <c r="S6" s="25">
        <f>IF(AND(ISNUMBER(P6), ISNUMBER(P8)), P8-P6, "")</f>
        <v/>
      </c>
    </row>
    <row r="7">
      <c r="A7" s="26" t="n"/>
      <c r="B7" s="27" t="inlineStr">
        <is>
          <t>2. 課堂 (第2月)</t>
        </is>
      </c>
      <c r="C7" s="19" t="inlineStr"/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19" t="inlineStr"/>
      <c r="L7" s="19" t="inlineStr"/>
      <c r="M7" s="20">
        <f>IF(COUNT(C7:L7)&gt;0, SUM(C7:L7), "")</f>
        <v/>
      </c>
      <c r="N7" s="21">
        <f>IF(COUNT(C7:L7)&gt;0, AVERAGE(C7:L7), "")</f>
        <v/>
      </c>
      <c r="O7" s="22">
        <f>IF(N7="","",IF(N7&gt;=4.5,"🟢 獨立完成",IF(N7&gt;=3.5,"🔵 口語提示",IF(N7&gt;=2.0,"🟡 肢體/部分協助","🟠 大量協助"))))</f>
        <v/>
      </c>
      <c r="P7" s="23">
        <f>IF(ISNUMBER(M7), M7/50, "")</f>
        <v/>
      </c>
      <c r="Q7" s="26" t="n"/>
      <c r="R7" s="26" t="n"/>
      <c r="S7" s="26" t="n"/>
    </row>
    <row r="8">
      <c r="A8" s="26" t="n"/>
      <c r="B8" s="28" t="inlineStr">
        <is>
          <t>3. 後測 (第3月)</t>
        </is>
      </c>
      <c r="C8" s="19" t="inlineStr"/>
      <c r="D8" s="19" t="inlineStr"/>
      <c r="E8" s="19" t="inlineStr"/>
      <c r="F8" s="19" t="inlineStr"/>
      <c r="G8" s="19" t="inlineStr"/>
      <c r="H8" s="19" t="inlineStr"/>
      <c r="I8" s="19" t="inlineStr"/>
      <c r="J8" s="19" t="inlineStr"/>
      <c r="K8" s="19" t="inlineStr"/>
      <c r="L8" s="19" t="inlineStr"/>
      <c r="M8" s="20">
        <f>IF(COUNT(C8:L8)&gt;0, SUM(C8:L8), "")</f>
        <v/>
      </c>
      <c r="N8" s="21">
        <f>IF(COUNT(C8:L8)&gt;0, AVERAGE(C8:L8), "")</f>
        <v/>
      </c>
      <c r="O8" s="22">
        <f>IF(N8="","",IF(N8&gt;=4.5,"🟢 獨立完成",IF(N8&gt;=3.5,"🔵 口語提示",IF(N8&gt;=2.0,"🟡 肢體/部分協助","🟠 大量協助"))))</f>
        <v/>
      </c>
      <c r="P8" s="23">
        <f>IF(ISNUMBER(M8), M8/50, "")</f>
        <v/>
      </c>
      <c r="Q8" s="26" t="n"/>
      <c r="R8" s="26" t="n"/>
      <c r="S8" s="26" t="n"/>
    </row>
    <row r="9">
      <c r="A9" s="17" t="inlineStr">
        <is>
          <t>學員 2</t>
        </is>
      </c>
      <c r="B9" s="18" t="inlineStr">
        <is>
          <t>1. 前測 (第1月)</t>
        </is>
      </c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  <c r="M9" s="20">
        <f>IF(COUNT(C9:L9)&gt;0, SUM(C9:L9), "")</f>
        <v/>
      </c>
      <c r="N9" s="21">
        <f>IF(COUNT(C9:L9)&gt;0, AVERAGE(C9:L9), "")</f>
        <v/>
      </c>
      <c r="O9" s="22">
        <f>IF(N9="","",IF(N9&gt;=4.5,"🟢 獨立完成",IF(N9&gt;=3.5,"🔵 口語提示",IF(N9&gt;=2.0,"🟡 肢體/部分協助","🟠 大量協助"))))</f>
        <v/>
      </c>
      <c r="P9" s="23">
        <f>IF(ISNUMBER(M9), M9/50, "")</f>
        <v/>
      </c>
      <c r="Q9" s="24">
        <f>IF(AND(ISNUMBER(M9), ISNUMBER(M11)), M11-M9, "")</f>
        <v/>
      </c>
      <c r="R9" s="25">
        <f>IF(AND(ISNUMBER(M9), ISNUMBER(M11)), IF(M9&gt;0, (M11-M9)/M9, (M11-M9)/50), "")</f>
        <v/>
      </c>
      <c r="S9" s="25">
        <f>IF(AND(ISNUMBER(P9), ISNUMBER(P11)), P11-P9, "")</f>
        <v/>
      </c>
    </row>
    <row r="10">
      <c r="A10" s="26" t="n"/>
      <c r="B10" s="27" t="inlineStr">
        <is>
          <t>2. 課堂 (第2月)</t>
        </is>
      </c>
      <c r="C10" s="19" t="inlineStr"/>
      <c r="D10" s="19" t="inlineStr"/>
      <c r="E10" s="19" t="inlineStr"/>
      <c r="F10" s="19" t="inlineStr"/>
      <c r="G10" s="19" t="inlineStr"/>
      <c r="H10" s="19" t="inlineStr"/>
      <c r="I10" s="19" t="inlineStr"/>
      <c r="J10" s="19" t="inlineStr"/>
      <c r="K10" s="19" t="inlineStr"/>
      <c r="L10" s="19" t="inlineStr"/>
      <c r="M10" s="20">
        <f>IF(COUNT(C10:L10)&gt;0, SUM(C10:L10), "")</f>
        <v/>
      </c>
      <c r="N10" s="21">
        <f>IF(COUNT(C10:L10)&gt;0, AVERAGE(C10:L10), "")</f>
        <v/>
      </c>
      <c r="O10" s="22">
        <f>IF(N10="","",IF(N10&gt;=4.5,"🟢 獨立完成",IF(N10&gt;=3.5,"🔵 口語提示",IF(N10&gt;=2.0,"🟡 肢體/部分協助","🟠 大量協助"))))</f>
        <v/>
      </c>
      <c r="P10" s="23">
        <f>IF(ISNUMBER(M10), M10/50, "")</f>
        <v/>
      </c>
      <c r="Q10" s="26" t="n"/>
      <c r="R10" s="26" t="n"/>
      <c r="S10" s="26" t="n"/>
    </row>
    <row r="11">
      <c r="A11" s="26" t="n"/>
      <c r="B11" s="28" t="inlineStr">
        <is>
          <t>3. 後測 (第3月)</t>
        </is>
      </c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19" t="inlineStr"/>
      <c r="L11" s="19" t="inlineStr"/>
      <c r="M11" s="20">
        <f>IF(COUNT(C11:L11)&gt;0, SUM(C11:L11), "")</f>
        <v/>
      </c>
      <c r="N11" s="21">
        <f>IF(COUNT(C11:L11)&gt;0, AVERAGE(C11:L11), "")</f>
        <v/>
      </c>
      <c r="O11" s="22">
        <f>IF(N11="","",IF(N11&gt;=4.5,"🟢 獨立完成",IF(N11&gt;=3.5,"🔵 口語提示",IF(N11&gt;=2.0,"🟡 肢體/部分協助","🟠 大量協助"))))</f>
        <v/>
      </c>
      <c r="P11" s="23">
        <f>IF(ISNUMBER(M11), M11/50, "")</f>
        <v/>
      </c>
      <c r="Q11" s="26" t="n"/>
      <c r="R11" s="26" t="n"/>
      <c r="S11" s="26" t="n"/>
    </row>
    <row r="12">
      <c r="A12" s="17" t="inlineStr">
        <is>
          <t>學員 3</t>
        </is>
      </c>
      <c r="B12" s="18" t="inlineStr">
        <is>
          <t>1. 前測 (第1月)</t>
        </is>
      </c>
      <c r="C12" s="19" t="inlineStr"/>
      <c r="D12" s="19" t="inlineStr"/>
      <c r="E12" s="19" t="inlineStr"/>
      <c r="F12" s="19" t="inlineStr"/>
      <c r="G12" s="19" t="inlineStr"/>
      <c r="H12" s="19" t="inlineStr"/>
      <c r="I12" s="19" t="inlineStr"/>
      <c r="J12" s="19" t="inlineStr"/>
      <c r="K12" s="19" t="inlineStr"/>
      <c r="L12" s="19" t="inlineStr"/>
      <c r="M12" s="20">
        <f>IF(COUNT(C12:L12)&gt;0, SUM(C12:L12), "")</f>
        <v/>
      </c>
      <c r="N12" s="21">
        <f>IF(COUNT(C12:L12)&gt;0, AVERAGE(C12:L12), "")</f>
        <v/>
      </c>
      <c r="O12" s="22">
        <f>IF(N12="","",IF(N12&gt;=4.5,"🟢 獨立完成",IF(N12&gt;=3.5,"🔵 口語提示",IF(N12&gt;=2.0,"🟡 肢體/部分協助","🟠 大量協助"))))</f>
        <v/>
      </c>
      <c r="P12" s="23">
        <f>IF(ISNUMBER(M12), M12/50, "")</f>
        <v/>
      </c>
      <c r="Q12" s="24">
        <f>IF(AND(ISNUMBER(M12), ISNUMBER(M14)), M14-M12, "")</f>
        <v/>
      </c>
      <c r="R12" s="25">
        <f>IF(AND(ISNUMBER(M12), ISNUMBER(M14)), IF(M12&gt;0, (M14-M12)/M12, (M14-M12)/50), "")</f>
        <v/>
      </c>
      <c r="S12" s="25">
        <f>IF(AND(ISNUMBER(P12), ISNUMBER(P14)), P14-P12, "")</f>
        <v/>
      </c>
    </row>
    <row r="13">
      <c r="A13" s="26" t="n"/>
      <c r="B13" s="27" t="inlineStr">
        <is>
          <t>2. 課堂 (第2月)</t>
        </is>
      </c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  <c r="M13" s="20">
        <f>IF(COUNT(C13:L13)&gt;0, SUM(C13:L13), "")</f>
        <v/>
      </c>
      <c r="N13" s="21">
        <f>IF(COUNT(C13:L13)&gt;0, AVERAGE(C13:L13), "")</f>
        <v/>
      </c>
      <c r="O13" s="22">
        <f>IF(N13="","",IF(N13&gt;=4.5,"🟢 獨立完成",IF(N13&gt;=3.5,"🔵 口語提示",IF(N13&gt;=2.0,"🟡 肢體/部分協助","🟠 大量協助"))))</f>
        <v/>
      </c>
      <c r="P13" s="23">
        <f>IF(ISNUMBER(M13), M13/50, "")</f>
        <v/>
      </c>
      <c r="Q13" s="26" t="n"/>
      <c r="R13" s="26" t="n"/>
      <c r="S13" s="26" t="n"/>
    </row>
    <row r="14">
      <c r="A14" s="26" t="n"/>
      <c r="B14" s="28" t="inlineStr">
        <is>
          <t>3. 後測 (第3月)</t>
        </is>
      </c>
      <c r="C14" s="19" t="inlineStr"/>
      <c r="D14" s="19" t="inlineStr"/>
      <c r="E14" s="19" t="inlineStr"/>
      <c r="F14" s="19" t="inlineStr"/>
      <c r="G14" s="19" t="inlineStr"/>
      <c r="H14" s="19" t="inlineStr"/>
      <c r="I14" s="19" t="inlineStr"/>
      <c r="J14" s="19" t="inlineStr"/>
      <c r="K14" s="19" t="inlineStr"/>
      <c r="L14" s="19" t="inlineStr"/>
      <c r="M14" s="20">
        <f>IF(COUNT(C14:L14)&gt;0, SUM(C14:L14), "")</f>
        <v/>
      </c>
      <c r="N14" s="21">
        <f>IF(COUNT(C14:L14)&gt;0, AVERAGE(C14:L14), "")</f>
        <v/>
      </c>
      <c r="O14" s="22">
        <f>IF(N14="","",IF(N14&gt;=4.5,"🟢 獨立完成",IF(N14&gt;=3.5,"🔵 口語提示",IF(N14&gt;=2.0,"🟡 肢體/部分協助","🟠 大量協助"))))</f>
        <v/>
      </c>
      <c r="P14" s="23">
        <f>IF(ISNUMBER(M14), M14/50, "")</f>
        <v/>
      </c>
      <c r="Q14" s="26" t="n"/>
      <c r="R14" s="26" t="n"/>
      <c r="S14" s="26" t="n"/>
    </row>
    <row r="15">
      <c r="A15" s="17" t="inlineStr">
        <is>
          <t>學員 4</t>
        </is>
      </c>
      <c r="B15" s="18" t="inlineStr">
        <is>
          <t>1. 前測 (第1月)</t>
        </is>
      </c>
      <c r="C15" s="19" t="inlineStr"/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9" t="inlineStr"/>
      <c r="L15" s="19" t="inlineStr"/>
      <c r="M15" s="20">
        <f>IF(COUNT(C15:L15)&gt;0, SUM(C15:L15), "")</f>
        <v/>
      </c>
      <c r="N15" s="21">
        <f>IF(COUNT(C15:L15)&gt;0, AVERAGE(C15:L15), "")</f>
        <v/>
      </c>
      <c r="O15" s="22">
        <f>IF(N15="","",IF(N15&gt;=4.5,"🟢 獨立完成",IF(N15&gt;=3.5,"🔵 口語提示",IF(N15&gt;=2.0,"🟡 肢體/部分協助","🟠 大量協助"))))</f>
        <v/>
      </c>
      <c r="P15" s="23">
        <f>IF(ISNUMBER(M15), M15/50, "")</f>
        <v/>
      </c>
      <c r="Q15" s="24">
        <f>IF(AND(ISNUMBER(M15), ISNUMBER(M17)), M17-M15, "")</f>
        <v/>
      </c>
      <c r="R15" s="25">
        <f>IF(AND(ISNUMBER(M15), ISNUMBER(M17)), IF(M15&gt;0, (M17-M15)/M15, (M17-M15)/50), "")</f>
        <v/>
      </c>
      <c r="S15" s="25">
        <f>IF(AND(ISNUMBER(P15), ISNUMBER(P17)), P17-P15, "")</f>
        <v/>
      </c>
    </row>
    <row r="16">
      <c r="A16" s="26" t="n"/>
      <c r="B16" s="27" t="inlineStr">
        <is>
          <t>2. 課堂 (第2月)</t>
        </is>
      </c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9" t="inlineStr"/>
      <c r="L16" s="19" t="inlineStr"/>
      <c r="M16" s="20">
        <f>IF(COUNT(C16:L16)&gt;0, SUM(C16:L16), "")</f>
        <v/>
      </c>
      <c r="N16" s="21">
        <f>IF(COUNT(C16:L16)&gt;0, AVERAGE(C16:L16), "")</f>
        <v/>
      </c>
      <c r="O16" s="22">
        <f>IF(N16="","",IF(N16&gt;=4.5,"🟢 獨立完成",IF(N16&gt;=3.5,"🔵 口語提示",IF(N16&gt;=2.0,"🟡 肢體/部分協助","🟠 大量協助"))))</f>
        <v/>
      </c>
      <c r="P16" s="23">
        <f>IF(ISNUMBER(M16), M16/50, "")</f>
        <v/>
      </c>
      <c r="Q16" s="26" t="n"/>
      <c r="R16" s="26" t="n"/>
      <c r="S16" s="26" t="n"/>
    </row>
    <row r="17">
      <c r="A17" s="26" t="n"/>
      <c r="B17" s="28" t="inlineStr">
        <is>
          <t>3. 後測 (第3月)</t>
        </is>
      </c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  <c r="M17" s="20">
        <f>IF(COUNT(C17:L17)&gt;0, SUM(C17:L17), "")</f>
        <v/>
      </c>
      <c r="N17" s="21">
        <f>IF(COUNT(C17:L17)&gt;0, AVERAGE(C17:L17), "")</f>
        <v/>
      </c>
      <c r="O17" s="22">
        <f>IF(N17="","",IF(N17&gt;=4.5,"🟢 獨立完成",IF(N17&gt;=3.5,"🔵 口語提示",IF(N17&gt;=2.0,"🟡 肢體/部分協助","🟠 大量協助"))))</f>
        <v/>
      </c>
      <c r="P17" s="23">
        <f>IF(ISNUMBER(M17), M17/50, "")</f>
        <v/>
      </c>
      <c r="Q17" s="26" t="n"/>
      <c r="R17" s="26" t="n"/>
      <c r="S17" s="26" t="n"/>
    </row>
    <row r="18">
      <c r="A18" s="17" t="inlineStr">
        <is>
          <t>學員 5</t>
        </is>
      </c>
      <c r="B18" s="18" t="inlineStr">
        <is>
          <t>1. 前測 (第1月)</t>
        </is>
      </c>
      <c r="C18" s="19" t="inlineStr"/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9" t="inlineStr"/>
      <c r="L18" s="19" t="inlineStr"/>
      <c r="M18" s="20">
        <f>IF(COUNT(C18:L18)&gt;0, SUM(C18:L18), "")</f>
        <v/>
      </c>
      <c r="N18" s="21">
        <f>IF(COUNT(C18:L18)&gt;0, AVERAGE(C18:L18), "")</f>
        <v/>
      </c>
      <c r="O18" s="22">
        <f>IF(N18="","",IF(N18&gt;=4.5,"🟢 獨立完成",IF(N18&gt;=3.5,"🔵 口語提示",IF(N18&gt;=2.0,"🟡 肢體/部分協助","🟠 大量協助"))))</f>
        <v/>
      </c>
      <c r="P18" s="23">
        <f>IF(ISNUMBER(M18), M18/50, "")</f>
        <v/>
      </c>
      <c r="Q18" s="24">
        <f>IF(AND(ISNUMBER(M18), ISNUMBER(M20)), M20-M18, "")</f>
        <v/>
      </c>
      <c r="R18" s="25">
        <f>IF(AND(ISNUMBER(M18), ISNUMBER(M20)), IF(M18&gt;0, (M20-M18)/M18, (M20-M18)/50), "")</f>
        <v/>
      </c>
      <c r="S18" s="25">
        <f>IF(AND(ISNUMBER(P18), ISNUMBER(P20)), P20-P18, "")</f>
        <v/>
      </c>
    </row>
    <row r="19">
      <c r="A19" s="26" t="n"/>
      <c r="B19" s="27" t="inlineStr">
        <is>
          <t>2. 課堂 (第2月)</t>
        </is>
      </c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9" t="inlineStr"/>
      <c r="L19" s="19" t="inlineStr"/>
      <c r="M19" s="20">
        <f>IF(COUNT(C19:L19)&gt;0, SUM(C19:L19), "")</f>
        <v/>
      </c>
      <c r="N19" s="21">
        <f>IF(COUNT(C19:L19)&gt;0, AVERAGE(C19:L19), "")</f>
        <v/>
      </c>
      <c r="O19" s="22">
        <f>IF(N19="","",IF(N19&gt;=4.5,"🟢 獨立完成",IF(N19&gt;=3.5,"🔵 口語提示",IF(N19&gt;=2.0,"🟡 肢體/部分協助","🟠 大量協助"))))</f>
        <v/>
      </c>
      <c r="P19" s="23">
        <f>IF(ISNUMBER(M19), M19/50, "")</f>
        <v/>
      </c>
      <c r="Q19" s="26" t="n"/>
      <c r="R19" s="26" t="n"/>
      <c r="S19" s="26" t="n"/>
    </row>
    <row r="20">
      <c r="A20" s="26" t="n"/>
      <c r="B20" s="28" t="inlineStr">
        <is>
          <t>3. 後測 (第3月)</t>
        </is>
      </c>
      <c r="C20" s="19" t="inlineStr"/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9" t="inlineStr"/>
      <c r="L20" s="19" t="inlineStr"/>
      <c r="M20" s="20">
        <f>IF(COUNT(C20:L20)&gt;0, SUM(C20:L20), "")</f>
        <v/>
      </c>
      <c r="N20" s="21">
        <f>IF(COUNT(C20:L20)&gt;0, AVERAGE(C20:L20), "")</f>
        <v/>
      </c>
      <c r="O20" s="22">
        <f>IF(N20="","",IF(N20&gt;=4.5,"🟢 獨立完成",IF(N20&gt;=3.5,"🔵 口語提示",IF(N20&gt;=2.0,"🟡 肢體/部分協助","🟠 大量協助"))))</f>
        <v/>
      </c>
      <c r="P20" s="23">
        <f>IF(ISNUMBER(M20), M20/50, "")</f>
        <v/>
      </c>
      <c r="Q20" s="26" t="n"/>
      <c r="R20" s="26" t="n"/>
      <c r="S20" s="26" t="n"/>
    </row>
    <row r="21">
      <c r="A21" s="17" t="inlineStr">
        <is>
          <t>學員 6</t>
        </is>
      </c>
      <c r="B21" s="18" t="inlineStr">
        <is>
          <t>1. 前測 (第1月)</t>
        </is>
      </c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  <c r="M21" s="20">
        <f>IF(COUNT(C21:L21)&gt;0, SUM(C21:L21), "")</f>
        <v/>
      </c>
      <c r="N21" s="21">
        <f>IF(COUNT(C21:L21)&gt;0, AVERAGE(C21:L21), "")</f>
        <v/>
      </c>
      <c r="O21" s="22">
        <f>IF(N21="","",IF(N21&gt;=4.5,"🟢 獨立完成",IF(N21&gt;=3.5,"🔵 口語提示",IF(N21&gt;=2.0,"🟡 肢體/部分協助","🟠 大量協助"))))</f>
        <v/>
      </c>
      <c r="P21" s="23">
        <f>IF(ISNUMBER(M21), M21/50, "")</f>
        <v/>
      </c>
      <c r="Q21" s="24">
        <f>IF(AND(ISNUMBER(M21), ISNUMBER(M23)), M23-M21, "")</f>
        <v/>
      </c>
      <c r="R21" s="25">
        <f>IF(AND(ISNUMBER(M21), ISNUMBER(M23)), IF(M21&gt;0, (M23-M21)/M21, (M23-M21)/50), "")</f>
        <v/>
      </c>
      <c r="S21" s="25">
        <f>IF(AND(ISNUMBER(P21), ISNUMBER(P23)), P23-P21, "")</f>
        <v/>
      </c>
    </row>
    <row r="22">
      <c r="A22" s="26" t="n"/>
      <c r="B22" s="27" t="inlineStr">
        <is>
          <t>2. 課堂 (第2月)</t>
        </is>
      </c>
      <c r="C22" s="19" t="inlineStr"/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9" t="inlineStr"/>
      <c r="L22" s="19" t="inlineStr"/>
      <c r="M22" s="20">
        <f>IF(COUNT(C22:L22)&gt;0, SUM(C22:L22), "")</f>
        <v/>
      </c>
      <c r="N22" s="21">
        <f>IF(COUNT(C22:L22)&gt;0, AVERAGE(C22:L22), "")</f>
        <v/>
      </c>
      <c r="O22" s="22">
        <f>IF(N22="","",IF(N22&gt;=4.5,"🟢 獨立完成",IF(N22&gt;=3.5,"🔵 口語提示",IF(N22&gt;=2.0,"🟡 肢體/部分協助","🟠 大量協助"))))</f>
        <v/>
      </c>
      <c r="P22" s="23">
        <f>IF(ISNUMBER(M22), M22/50, "")</f>
        <v/>
      </c>
      <c r="Q22" s="26" t="n"/>
      <c r="R22" s="26" t="n"/>
      <c r="S22" s="26" t="n"/>
    </row>
    <row r="23">
      <c r="A23" s="26" t="n"/>
      <c r="B23" s="28" t="inlineStr">
        <is>
          <t>3. 後測 (第3月)</t>
        </is>
      </c>
      <c r="C23" s="19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  <c r="L23" s="19" t="inlineStr"/>
      <c r="M23" s="20">
        <f>IF(COUNT(C23:L23)&gt;0, SUM(C23:L23), "")</f>
        <v/>
      </c>
      <c r="N23" s="21">
        <f>IF(COUNT(C23:L23)&gt;0, AVERAGE(C23:L23), "")</f>
        <v/>
      </c>
      <c r="O23" s="22">
        <f>IF(N23="","",IF(N23&gt;=4.5,"🟢 獨立完成",IF(N23&gt;=3.5,"🔵 口語提示",IF(N23&gt;=2.0,"🟡 肢體/部分協助","🟠 大量協助"))))</f>
        <v/>
      </c>
      <c r="P23" s="23">
        <f>IF(ISNUMBER(M23), M23/50, "")</f>
        <v/>
      </c>
      <c r="Q23" s="26" t="n"/>
      <c r="R23" s="26" t="n"/>
      <c r="S23" s="26" t="n"/>
    </row>
    <row r="24">
      <c r="A24" s="17" t="inlineStr">
        <is>
          <t>學員 7</t>
        </is>
      </c>
      <c r="B24" s="18" t="inlineStr">
        <is>
          <t>1. 前測 (第1月)</t>
        </is>
      </c>
      <c r="C24" s="19" t="inlineStr"/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19" t="inlineStr"/>
      <c r="L24" s="19" t="inlineStr"/>
      <c r="M24" s="20">
        <f>IF(COUNT(C24:L24)&gt;0, SUM(C24:L24), "")</f>
        <v/>
      </c>
      <c r="N24" s="21">
        <f>IF(COUNT(C24:L24)&gt;0, AVERAGE(C24:L24), "")</f>
        <v/>
      </c>
      <c r="O24" s="22">
        <f>IF(N24="","",IF(N24&gt;=4.5,"🟢 獨立完成",IF(N24&gt;=3.5,"🔵 口語提示",IF(N24&gt;=2.0,"🟡 肢體/部分協助","🟠 大量協助"))))</f>
        <v/>
      </c>
      <c r="P24" s="23">
        <f>IF(ISNUMBER(M24), M24/50, "")</f>
        <v/>
      </c>
      <c r="Q24" s="24">
        <f>IF(AND(ISNUMBER(M24), ISNUMBER(M26)), M26-M24, "")</f>
        <v/>
      </c>
      <c r="R24" s="25">
        <f>IF(AND(ISNUMBER(M24), ISNUMBER(M26)), IF(M24&gt;0, (M26-M24)/M24, (M26-M24)/50), "")</f>
        <v/>
      </c>
      <c r="S24" s="25">
        <f>IF(AND(ISNUMBER(P24), ISNUMBER(P26)), P26-P24, "")</f>
        <v/>
      </c>
    </row>
    <row r="25">
      <c r="A25" s="26" t="n"/>
      <c r="B25" s="27" t="inlineStr">
        <is>
          <t>2. 課堂 (第2月)</t>
        </is>
      </c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19" t="inlineStr"/>
      <c r="L25" s="19" t="inlineStr"/>
      <c r="M25" s="20">
        <f>IF(COUNT(C25:L25)&gt;0, SUM(C25:L25), "")</f>
        <v/>
      </c>
      <c r="N25" s="21">
        <f>IF(COUNT(C25:L25)&gt;0, AVERAGE(C25:L25), "")</f>
        <v/>
      </c>
      <c r="O25" s="22">
        <f>IF(N25="","",IF(N25&gt;=4.5,"🟢 獨立完成",IF(N25&gt;=3.5,"🔵 口語提示",IF(N25&gt;=2.0,"🟡 肢體/部分協助","🟠 大量協助"))))</f>
        <v/>
      </c>
      <c r="P25" s="23">
        <f>IF(ISNUMBER(M25), M25/50, "")</f>
        <v/>
      </c>
      <c r="Q25" s="26" t="n"/>
      <c r="R25" s="26" t="n"/>
      <c r="S25" s="26" t="n"/>
    </row>
    <row r="26">
      <c r="A26" s="26" t="n"/>
      <c r="B26" s="28" t="inlineStr">
        <is>
          <t>3. 後測 (第3月)</t>
        </is>
      </c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  <c r="J26" s="19" t="inlineStr"/>
      <c r="K26" s="19" t="inlineStr"/>
      <c r="L26" s="19" t="inlineStr"/>
      <c r="M26" s="20">
        <f>IF(COUNT(C26:L26)&gt;0, SUM(C26:L26), "")</f>
        <v/>
      </c>
      <c r="N26" s="21">
        <f>IF(COUNT(C26:L26)&gt;0, AVERAGE(C26:L26), "")</f>
        <v/>
      </c>
      <c r="O26" s="22">
        <f>IF(N26="","",IF(N26&gt;=4.5,"🟢 獨立完成",IF(N26&gt;=3.5,"🔵 口語提示",IF(N26&gt;=2.0,"🟡 肢體/部分協助","🟠 大量協助"))))</f>
        <v/>
      </c>
      <c r="P26" s="23">
        <f>IF(ISNUMBER(M26), M26/50, "")</f>
        <v/>
      </c>
      <c r="Q26" s="26" t="n"/>
      <c r="R26" s="26" t="n"/>
      <c r="S26" s="26" t="n"/>
    </row>
    <row r="27">
      <c r="A27" s="17" t="inlineStr">
        <is>
          <t>學員 8</t>
        </is>
      </c>
      <c r="B27" s="18" t="inlineStr">
        <is>
          <t>1. 前測 (第1月)</t>
        </is>
      </c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  <c r="M27" s="20">
        <f>IF(COUNT(C27:L27)&gt;0, SUM(C27:L27), "")</f>
        <v/>
      </c>
      <c r="N27" s="21">
        <f>IF(COUNT(C27:L27)&gt;0, AVERAGE(C27:L27), "")</f>
        <v/>
      </c>
      <c r="O27" s="22">
        <f>IF(N27="","",IF(N27&gt;=4.5,"🟢 獨立完成",IF(N27&gt;=3.5,"🔵 口語提示",IF(N27&gt;=2.0,"🟡 肢體/部分協助","🟠 大量協助"))))</f>
        <v/>
      </c>
      <c r="P27" s="23">
        <f>IF(ISNUMBER(M27), M27/50, "")</f>
        <v/>
      </c>
      <c r="Q27" s="24">
        <f>IF(AND(ISNUMBER(M27), ISNUMBER(M29)), M29-M27, "")</f>
        <v/>
      </c>
      <c r="R27" s="25">
        <f>IF(AND(ISNUMBER(M27), ISNUMBER(M29)), IF(M27&gt;0, (M29-M27)/M27, (M29-M27)/50), "")</f>
        <v/>
      </c>
      <c r="S27" s="25">
        <f>IF(AND(ISNUMBER(P27), ISNUMBER(P29)), P29-P27, "")</f>
        <v/>
      </c>
    </row>
    <row r="28">
      <c r="A28" s="26" t="n"/>
      <c r="B28" s="27" t="inlineStr">
        <is>
          <t>2. 課堂 (第2月)</t>
        </is>
      </c>
      <c r="C28" s="19" t="inlineStr"/>
      <c r="D28" s="19" t="inlineStr"/>
      <c r="E28" s="19" t="inlineStr"/>
      <c r="F28" s="19" t="inlineStr"/>
      <c r="G28" s="19" t="inlineStr"/>
      <c r="H28" s="19" t="inlineStr"/>
      <c r="I28" s="19" t="inlineStr"/>
      <c r="J28" s="19" t="inlineStr"/>
      <c r="K28" s="19" t="inlineStr"/>
      <c r="L28" s="19" t="inlineStr"/>
      <c r="M28" s="20">
        <f>IF(COUNT(C28:L28)&gt;0, SUM(C28:L28), "")</f>
        <v/>
      </c>
      <c r="N28" s="21">
        <f>IF(COUNT(C28:L28)&gt;0, AVERAGE(C28:L28), "")</f>
        <v/>
      </c>
      <c r="O28" s="22">
        <f>IF(N28="","",IF(N28&gt;=4.5,"🟢 獨立完成",IF(N28&gt;=3.5,"🔵 口語提示",IF(N28&gt;=2.0,"🟡 肢體/部分協助","🟠 大量協助"))))</f>
        <v/>
      </c>
      <c r="P28" s="23">
        <f>IF(ISNUMBER(M28), M28/50, "")</f>
        <v/>
      </c>
      <c r="Q28" s="26" t="n"/>
      <c r="R28" s="26" t="n"/>
      <c r="S28" s="26" t="n"/>
    </row>
    <row r="29">
      <c r="A29" s="26" t="n"/>
      <c r="B29" s="28" t="inlineStr">
        <is>
          <t>3. 後測 (第3月)</t>
        </is>
      </c>
      <c r="C29" s="19" t="inlineStr"/>
      <c r="D29" s="19" t="inlineStr"/>
      <c r="E29" s="19" t="inlineStr"/>
      <c r="F29" s="19" t="inlineStr"/>
      <c r="G29" s="19" t="inlineStr"/>
      <c r="H29" s="19" t="inlineStr"/>
      <c r="I29" s="19" t="inlineStr"/>
      <c r="J29" s="19" t="inlineStr"/>
      <c r="K29" s="19" t="inlineStr"/>
      <c r="L29" s="19" t="inlineStr"/>
      <c r="M29" s="20">
        <f>IF(COUNT(C29:L29)&gt;0, SUM(C29:L29), "")</f>
        <v/>
      </c>
      <c r="N29" s="21">
        <f>IF(COUNT(C29:L29)&gt;0, AVERAGE(C29:L29), "")</f>
        <v/>
      </c>
      <c r="O29" s="22">
        <f>IF(N29="","",IF(N29&gt;=4.5,"🟢 獨立完成",IF(N29&gt;=3.5,"🔵 口語提示",IF(N29&gt;=2.0,"🟡 肢體/部分協助","🟠 大量協助"))))</f>
        <v/>
      </c>
      <c r="P29" s="23">
        <f>IF(ISNUMBER(M29), M29/50, "")</f>
        <v/>
      </c>
      <c r="Q29" s="26" t="n"/>
      <c r="R29" s="26" t="n"/>
      <c r="S29" s="26" t="n"/>
    </row>
    <row r="30">
      <c r="A30" s="29" t="inlineStr">
        <is>
          <t>全班平均常模</t>
        </is>
      </c>
      <c r="C30" s="30">
        <f>IFERROR(AVERAGE(C6:C29), "-")</f>
        <v/>
      </c>
      <c r="D30" s="30">
        <f>IFERROR(AVERAGE(D6:D29), "-")</f>
        <v/>
      </c>
      <c r="E30" s="30">
        <f>IFERROR(AVERAGE(E6:E29), "-")</f>
        <v/>
      </c>
      <c r="F30" s="30">
        <f>IFERROR(AVERAGE(F6:F29), "-")</f>
        <v/>
      </c>
      <c r="G30" s="30">
        <f>IFERROR(AVERAGE(G6:G29), "-")</f>
        <v/>
      </c>
      <c r="H30" s="30">
        <f>IFERROR(AVERAGE(H6:H29), "-")</f>
        <v/>
      </c>
      <c r="I30" s="30">
        <f>IFERROR(AVERAGE(I6:I29), "-")</f>
        <v/>
      </c>
      <c r="J30" s="30">
        <f>IFERROR(AVERAGE(J6:J29), "-")</f>
        <v/>
      </c>
      <c r="K30" s="30">
        <f>IFERROR(AVERAGE(K6:K29), "-")</f>
        <v/>
      </c>
      <c r="L30" s="30">
        <f>IFERROR(AVERAGE(L6:L29), "-")</f>
        <v/>
      </c>
      <c r="M30" s="30">
        <f>IFERROR(AVERAGE(M6:M29), "-")</f>
        <v/>
      </c>
      <c r="N30" s="30">
        <f>IFERROR(AVERAGE(N6:N29), "-")</f>
        <v/>
      </c>
      <c r="O30" s="30" t="inlineStr">
        <is>
          <t>-</t>
        </is>
      </c>
      <c r="P30" s="30">
        <f>IFERROR(AVERAGE(P6:P29), "-")</f>
        <v/>
      </c>
      <c r="Q30" s="30">
        <f>IFERROR(AVERAGE(Q6:Q29), "-")</f>
        <v/>
      </c>
      <c r="R30" s="30">
        <f>IFERROR(AVERAGE(R6:R29), "-")</f>
        <v/>
      </c>
      <c r="S30" s="30">
        <f>IFERROR(AVERAGE(S6:S29), "-")</f>
        <v/>
      </c>
    </row>
    <row r="33">
      <c r="A33" s="31" t="inlineStr">
        <is>
          <t>【Q2 檢核指標項目清單參照】</t>
        </is>
      </c>
    </row>
    <row r="34">
      <c r="A34" s="32" t="inlineStr">
        <is>
          <t>指標 1</t>
        </is>
      </c>
      <c r="B34" s="33" t="inlineStr">
        <is>
          <t>1. 能分辨紅（少吃）、黃（適量）、綠（天天吃）燈食物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</row>
    <row r="35">
      <c r="A35" s="32" t="inlineStr">
        <is>
          <t>指標 2</t>
        </is>
      </c>
      <c r="B35" s="33" t="inlineStr">
        <is>
          <t>2. 能從菜單或實物中挑選澱粉類（全穀雜糧）食物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</row>
    <row r="36">
      <c r="A36" s="32" t="inlineStr">
        <is>
          <t>指標 3</t>
        </is>
      </c>
      <c r="B36" s="33" t="inlineStr">
        <is>
          <t>3. 能挑選蛋白質（蛋豆魚肉）食物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</row>
    <row r="37">
      <c r="A37" s="32" t="inlineStr">
        <is>
          <t>指標 4</t>
        </is>
      </c>
      <c r="B37" s="33" t="inlineStr">
        <is>
          <t>4. 能主動選擇或夾取蔬菜類食物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>
      <c r="A38" s="32" t="inlineStr">
        <is>
          <t>指標 5</t>
        </is>
      </c>
      <c r="B38" s="33" t="inlineStr">
        <is>
          <t>5. 能依據均衡飲食原則組合一份完整餐點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>
      <c r="A39" s="32" t="inlineStr">
        <is>
          <t>指標 6</t>
        </is>
      </c>
      <c r="B39" s="33" t="inlineStr">
        <is>
          <t>6. 能正確操作額溫槍並對準額頭量測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>
      <c r="A40" s="32" t="inlineStr">
        <is>
          <t>指標 7</t>
        </is>
      </c>
      <c r="B40" s="33" t="inlineStr">
        <is>
          <t>7. 能正確配戴壓脈帶並操作電子血壓計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>
      <c r="A41" s="32" t="inlineStr">
        <is>
          <t>指標 8</t>
        </is>
      </c>
      <c r="B41" s="33" t="inlineStr">
        <is>
          <t>8. 能脫鞋站穩量測體重並正確讀取數值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</row>
    <row r="42">
      <c r="A42" s="32" t="inlineStr">
        <is>
          <t>指標 9</t>
        </is>
      </c>
      <c r="B42" s="33" t="inlineStr">
        <is>
          <t>9. 能正確夾好血氧機並保持靜止量測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</row>
    <row r="43">
      <c r="A43" s="32" t="inlineStr">
        <is>
          <t>指標 10</t>
        </is>
      </c>
      <c r="B43" s="33" t="inlineStr">
        <is>
          <t>10. 能看懂自己的健康數據並說出異常時需注意的地方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</row>
  </sheetData>
  <mergeCells count="47">
    <mergeCell ref="B35:L35"/>
    <mergeCell ref="Q9:Q11"/>
    <mergeCell ref="A21:A23"/>
    <mergeCell ref="A30:B30"/>
    <mergeCell ref="S9:S11"/>
    <mergeCell ref="A12:A14"/>
    <mergeCell ref="A1:S2"/>
    <mergeCell ref="Q6:Q8"/>
    <mergeCell ref="Q15:Q17"/>
    <mergeCell ref="S15:S17"/>
    <mergeCell ref="S24:S26"/>
    <mergeCell ref="Q27:Q29"/>
    <mergeCell ref="R18:R20"/>
    <mergeCell ref="B43:L43"/>
    <mergeCell ref="R9:R11"/>
    <mergeCell ref="B41:L41"/>
    <mergeCell ref="B39:L39"/>
    <mergeCell ref="A15:A17"/>
    <mergeCell ref="B42:L42"/>
    <mergeCell ref="A24:A26"/>
    <mergeCell ref="A9:A11"/>
    <mergeCell ref="Q18:Q20"/>
    <mergeCell ref="S18:S20"/>
    <mergeCell ref="Q12:Q14"/>
    <mergeCell ref="B38:L38"/>
    <mergeCell ref="A4:A5"/>
    <mergeCell ref="S12:S14"/>
    <mergeCell ref="Q21:Q23"/>
    <mergeCell ref="S21:S23"/>
    <mergeCell ref="B34:L34"/>
    <mergeCell ref="B37:L37"/>
    <mergeCell ref="S27:S29"/>
    <mergeCell ref="Q24:Q26"/>
    <mergeCell ref="A18:A20"/>
    <mergeCell ref="A6:A8"/>
    <mergeCell ref="R6:R8"/>
    <mergeCell ref="R24:R26"/>
    <mergeCell ref="B40:L40"/>
    <mergeCell ref="B36:L36"/>
    <mergeCell ref="B4:B5"/>
    <mergeCell ref="R12:R14"/>
    <mergeCell ref="R15:R17"/>
    <mergeCell ref="R21:R23"/>
    <mergeCell ref="A3:S3"/>
    <mergeCell ref="R27:R29"/>
    <mergeCell ref="S6:S8"/>
    <mergeCell ref="A27:A2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18" customWidth="1" min="15" max="15"/>
    <col width="10" customWidth="1" min="16" max="16"/>
    <col width="11" customWidth="1" min="17" max="17"/>
    <col width="11" customWidth="1" min="18" max="18"/>
    <col width="13" customWidth="1" min="19" max="19"/>
  </cols>
  <sheetData>
    <row r="1">
      <c r="A1" s="10" t="inlineStr">
        <is>
          <t>第三季 (7~9月)：緊急事故與健康安全 - 學員前測／課堂平時／後測評量打分表</t>
        </is>
      </c>
    </row>
    <row r="2"/>
    <row r="3">
      <c r="A3" s="11" t="inlineStr">
        <is>
          <t>【評分提示等級】5:可獨立完成 ｜ 4:口語提示 ｜ 3:肢體協助 ｜ 2:部分協助 ｜ 1:大量協助 ｜ 0:無法完成 (在指標 1~10 欄位填入 0~5 分)</t>
        </is>
      </c>
    </row>
    <row r="4">
      <c r="A4" s="12" t="inlineStr">
        <is>
          <t>學員姓名</t>
        </is>
      </c>
      <c r="B4" s="12" t="inlineStr">
        <is>
          <t>評量階段</t>
        </is>
      </c>
      <c r="C4" s="13" t="inlineStr">
        <is>
          <t>指標 1</t>
        </is>
      </c>
      <c r="D4" s="13" t="inlineStr">
        <is>
          <t>指標 2</t>
        </is>
      </c>
      <c r="E4" s="13" t="inlineStr">
        <is>
          <t>指標 3</t>
        </is>
      </c>
      <c r="F4" s="13" t="inlineStr">
        <is>
          <t>指標 4</t>
        </is>
      </c>
      <c r="G4" s="13" t="inlineStr">
        <is>
          <t>指標 5</t>
        </is>
      </c>
      <c r="H4" s="13" t="inlineStr">
        <is>
          <t>指標 6</t>
        </is>
      </c>
      <c r="I4" s="13" t="inlineStr">
        <is>
          <t>指標 7</t>
        </is>
      </c>
      <c r="J4" s="13" t="inlineStr">
        <is>
          <t>指標 8</t>
        </is>
      </c>
      <c r="K4" s="13" t="inlineStr">
        <is>
          <t>指標 9</t>
        </is>
      </c>
      <c r="L4" s="13" t="inlineStr">
        <is>
          <t>指標 10</t>
        </is>
      </c>
      <c r="M4" s="14" t="inlineStr">
        <is>
          <t>總得分</t>
        </is>
      </c>
      <c r="N4" s="14" t="inlineStr">
        <is>
          <t>平均分</t>
        </is>
      </c>
      <c r="O4" s="14" t="inlineStr">
        <is>
          <t>學習階段判定</t>
        </is>
      </c>
      <c r="P4" s="14" t="inlineStr">
        <is>
          <t>達成率</t>
        </is>
      </c>
      <c r="Q4" s="14" t="inlineStr">
        <is>
          <t>進步分數</t>
        </is>
      </c>
      <c r="R4" s="14" t="inlineStr">
        <is>
          <t>進步率</t>
        </is>
      </c>
      <c r="S4" s="14" t="inlineStr">
        <is>
          <t>成長百分點</t>
        </is>
      </c>
    </row>
    <row r="5">
      <c r="C5" s="15" t="inlineStr">
        <is>
          <t>(0~5分)</t>
        </is>
      </c>
      <c r="D5" s="15" t="inlineStr">
        <is>
          <t>(0~5分)</t>
        </is>
      </c>
      <c r="E5" s="15" t="inlineStr">
        <is>
          <t>(0~5分)</t>
        </is>
      </c>
      <c r="F5" s="15" t="inlineStr">
        <is>
          <t>(0~5分)</t>
        </is>
      </c>
      <c r="G5" s="15" t="inlineStr">
        <is>
          <t>(0~5分)</t>
        </is>
      </c>
      <c r="H5" s="15" t="inlineStr">
        <is>
          <t>(0~5分)</t>
        </is>
      </c>
      <c r="I5" s="15" t="inlineStr">
        <is>
          <t>(0~5分)</t>
        </is>
      </c>
      <c r="J5" s="15" t="inlineStr">
        <is>
          <t>(0~5分)</t>
        </is>
      </c>
      <c r="K5" s="15" t="inlineStr">
        <is>
          <t>(0~5分)</t>
        </is>
      </c>
      <c r="L5" s="15" t="inlineStr">
        <is>
          <t>(0~5分)</t>
        </is>
      </c>
      <c r="M5" s="16" t="inlineStr">
        <is>
          <t>(滿分50)</t>
        </is>
      </c>
      <c r="N5" s="16" t="inlineStr">
        <is>
          <t>(0~5分)</t>
        </is>
      </c>
      <c r="O5" s="16" t="inlineStr">
        <is>
          <t>(等級標記)</t>
        </is>
      </c>
      <c r="P5" s="16" t="inlineStr">
        <is>
          <t>(%)</t>
        </is>
      </c>
      <c r="Q5" s="16" t="inlineStr">
        <is>
          <t>(後-前)</t>
        </is>
      </c>
      <c r="R5" s="16" t="inlineStr">
        <is>
          <t>(%)</t>
        </is>
      </c>
      <c r="S5" s="16" t="inlineStr">
        <is>
          <t>(%pt)</t>
        </is>
      </c>
    </row>
    <row r="6">
      <c r="A6" s="17" t="inlineStr">
        <is>
          <t>學員 1</t>
        </is>
      </c>
      <c r="B6" s="18" t="inlineStr">
        <is>
          <t>1. 前測 (第1月)</t>
        </is>
      </c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20">
        <f>IF(COUNT(C6:L6)&gt;0, SUM(C6:L6), "")</f>
        <v/>
      </c>
      <c r="N6" s="21">
        <f>IF(COUNT(C6:L6)&gt;0, AVERAGE(C6:L6), "")</f>
        <v/>
      </c>
      <c r="O6" s="22">
        <f>IF(N6="","",IF(N6&gt;=4.5,"🟢 獨立完成",IF(N6&gt;=3.5,"🔵 口語提示",IF(N6&gt;=2.0,"🟡 肢體/部分協助","🟠 大量協助"))))</f>
        <v/>
      </c>
      <c r="P6" s="23">
        <f>IF(ISNUMBER(M6), M6/50, "")</f>
        <v/>
      </c>
      <c r="Q6" s="24">
        <f>IF(AND(ISNUMBER(M6), ISNUMBER(M8)), M8-M6, "")</f>
        <v/>
      </c>
      <c r="R6" s="25">
        <f>IF(AND(ISNUMBER(M6), ISNUMBER(M8)), IF(M6&gt;0, (M8-M6)/M6, (M8-M6)/50), "")</f>
        <v/>
      </c>
      <c r="S6" s="25">
        <f>IF(AND(ISNUMBER(P6), ISNUMBER(P8)), P8-P6, "")</f>
        <v/>
      </c>
    </row>
    <row r="7">
      <c r="A7" s="26" t="n"/>
      <c r="B7" s="27" t="inlineStr">
        <is>
          <t>2. 課堂 (第2月)</t>
        </is>
      </c>
      <c r="C7" s="19" t="inlineStr"/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19" t="inlineStr"/>
      <c r="L7" s="19" t="inlineStr"/>
      <c r="M7" s="20">
        <f>IF(COUNT(C7:L7)&gt;0, SUM(C7:L7), "")</f>
        <v/>
      </c>
      <c r="N7" s="21">
        <f>IF(COUNT(C7:L7)&gt;0, AVERAGE(C7:L7), "")</f>
        <v/>
      </c>
      <c r="O7" s="22">
        <f>IF(N7="","",IF(N7&gt;=4.5,"🟢 獨立完成",IF(N7&gt;=3.5,"🔵 口語提示",IF(N7&gt;=2.0,"🟡 肢體/部分協助","🟠 大量協助"))))</f>
        <v/>
      </c>
      <c r="P7" s="23">
        <f>IF(ISNUMBER(M7), M7/50, "")</f>
        <v/>
      </c>
      <c r="Q7" s="26" t="n"/>
      <c r="R7" s="26" t="n"/>
      <c r="S7" s="26" t="n"/>
    </row>
    <row r="8">
      <c r="A8" s="26" t="n"/>
      <c r="B8" s="28" t="inlineStr">
        <is>
          <t>3. 後測 (第3月)</t>
        </is>
      </c>
      <c r="C8" s="19" t="inlineStr"/>
      <c r="D8" s="19" t="inlineStr"/>
      <c r="E8" s="19" t="inlineStr"/>
      <c r="F8" s="19" t="inlineStr"/>
      <c r="G8" s="19" t="inlineStr"/>
      <c r="H8" s="19" t="inlineStr"/>
      <c r="I8" s="19" t="inlineStr"/>
      <c r="J8" s="19" t="inlineStr"/>
      <c r="K8" s="19" t="inlineStr"/>
      <c r="L8" s="19" t="inlineStr"/>
      <c r="M8" s="20">
        <f>IF(COUNT(C8:L8)&gt;0, SUM(C8:L8), "")</f>
        <v/>
      </c>
      <c r="N8" s="21">
        <f>IF(COUNT(C8:L8)&gt;0, AVERAGE(C8:L8), "")</f>
        <v/>
      </c>
      <c r="O8" s="22">
        <f>IF(N8="","",IF(N8&gt;=4.5,"🟢 獨立完成",IF(N8&gt;=3.5,"🔵 口語提示",IF(N8&gt;=2.0,"🟡 肢體/部分協助","🟠 大量協助"))))</f>
        <v/>
      </c>
      <c r="P8" s="23">
        <f>IF(ISNUMBER(M8), M8/50, "")</f>
        <v/>
      </c>
      <c r="Q8" s="26" t="n"/>
      <c r="R8" s="26" t="n"/>
      <c r="S8" s="26" t="n"/>
    </row>
    <row r="9">
      <c r="A9" s="17" t="inlineStr">
        <is>
          <t>學員 2</t>
        </is>
      </c>
      <c r="B9" s="18" t="inlineStr">
        <is>
          <t>1. 前測 (第1月)</t>
        </is>
      </c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  <c r="M9" s="20">
        <f>IF(COUNT(C9:L9)&gt;0, SUM(C9:L9), "")</f>
        <v/>
      </c>
      <c r="N9" s="21">
        <f>IF(COUNT(C9:L9)&gt;0, AVERAGE(C9:L9), "")</f>
        <v/>
      </c>
      <c r="O9" s="22">
        <f>IF(N9="","",IF(N9&gt;=4.5,"🟢 獨立完成",IF(N9&gt;=3.5,"🔵 口語提示",IF(N9&gt;=2.0,"🟡 肢體/部分協助","🟠 大量協助"))))</f>
        <v/>
      </c>
      <c r="P9" s="23">
        <f>IF(ISNUMBER(M9), M9/50, "")</f>
        <v/>
      </c>
      <c r="Q9" s="24">
        <f>IF(AND(ISNUMBER(M9), ISNUMBER(M11)), M11-M9, "")</f>
        <v/>
      </c>
      <c r="R9" s="25">
        <f>IF(AND(ISNUMBER(M9), ISNUMBER(M11)), IF(M9&gt;0, (M11-M9)/M9, (M11-M9)/50), "")</f>
        <v/>
      </c>
      <c r="S9" s="25">
        <f>IF(AND(ISNUMBER(P9), ISNUMBER(P11)), P11-P9, "")</f>
        <v/>
      </c>
    </row>
    <row r="10">
      <c r="A10" s="26" t="n"/>
      <c r="B10" s="27" t="inlineStr">
        <is>
          <t>2. 課堂 (第2月)</t>
        </is>
      </c>
      <c r="C10" s="19" t="inlineStr"/>
      <c r="D10" s="19" t="inlineStr"/>
      <c r="E10" s="19" t="inlineStr"/>
      <c r="F10" s="19" t="inlineStr"/>
      <c r="G10" s="19" t="inlineStr"/>
      <c r="H10" s="19" t="inlineStr"/>
      <c r="I10" s="19" t="inlineStr"/>
      <c r="J10" s="19" t="inlineStr"/>
      <c r="K10" s="19" t="inlineStr"/>
      <c r="L10" s="19" t="inlineStr"/>
      <c r="M10" s="20">
        <f>IF(COUNT(C10:L10)&gt;0, SUM(C10:L10), "")</f>
        <v/>
      </c>
      <c r="N10" s="21">
        <f>IF(COUNT(C10:L10)&gt;0, AVERAGE(C10:L10), "")</f>
        <v/>
      </c>
      <c r="O10" s="22">
        <f>IF(N10="","",IF(N10&gt;=4.5,"🟢 獨立完成",IF(N10&gt;=3.5,"🔵 口語提示",IF(N10&gt;=2.0,"🟡 肢體/部分協助","🟠 大量協助"))))</f>
        <v/>
      </c>
      <c r="P10" s="23">
        <f>IF(ISNUMBER(M10), M10/50, "")</f>
        <v/>
      </c>
      <c r="Q10" s="26" t="n"/>
      <c r="R10" s="26" t="n"/>
      <c r="S10" s="26" t="n"/>
    </row>
    <row r="11">
      <c r="A11" s="26" t="n"/>
      <c r="B11" s="28" t="inlineStr">
        <is>
          <t>3. 後測 (第3月)</t>
        </is>
      </c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19" t="inlineStr"/>
      <c r="L11" s="19" t="inlineStr"/>
      <c r="M11" s="20">
        <f>IF(COUNT(C11:L11)&gt;0, SUM(C11:L11), "")</f>
        <v/>
      </c>
      <c r="N11" s="21">
        <f>IF(COUNT(C11:L11)&gt;0, AVERAGE(C11:L11), "")</f>
        <v/>
      </c>
      <c r="O11" s="22">
        <f>IF(N11="","",IF(N11&gt;=4.5,"🟢 獨立完成",IF(N11&gt;=3.5,"🔵 口語提示",IF(N11&gt;=2.0,"🟡 肢體/部分協助","🟠 大量協助"))))</f>
        <v/>
      </c>
      <c r="P11" s="23">
        <f>IF(ISNUMBER(M11), M11/50, "")</f>
        <v/>
      </c>
      <c r="Q11" s="26" t="n"/>
      <c r="R11" s="26" t="n"/>
      <c r="S11" s="26" t="n"/>
    </row>
    <row r="12">
      <c r="A12" s="17" t="inlineStr">
        <is>
          <t>學員 3</t>
        </is>
      </c>
      <c r="B12" s="18" t="inlineStr">
        <is>
          <t>1. 前測 (第1月)</t>
        </is>
      </c>
      <c r="C12" s="19" t="inlineStr"/>
      <c r="D12" s="19" t="inlineStr"/>
      <c r="E12" s="19" t="inlineStr"/>
      <c r="F12" s="19" t="inlineStr"/>
      <c r="G12" s="19" t="inlineStr"/>
      <c r="H12" s="19" t="inlineStr"/>
      <c r="I12" s="19" t="inlineStr"/>
      <c r="J12" s="19" t="inlineStr"/>
      <c r="K12" s="19" t="inlineStr"/>
      <c r="L12" s="19" t="inlineStr"/>
      <c r="M12" s="20">
        <f>IF(COUNT(C12:L12)&gt;0, SUM(C12:L12), "")</f>
        <v/>
      </c>
      <c r="N12" s="21">
        <f>IF(COUNT(C12:L12)&gt;0, AVERAGE(C12:L12), "")</f>
        <v/>
      </c>
      <c r="O12" s="22">
        <f>IF(N12="","",IF(N12&gt;=4.5,"🟢 獨立完成",IF(N12&gt;=3.5,"🔵 口語提示",IF(N12&gt;=2.0,"🟡 肢體/部分協助","🟠 大量協助"))))</f>
        <v/>
      </c>
      <c r="P12" s="23">
        <f>IF(ISNUMBER(M12), M12/50, "")</f>
        <v/>
      </c>
      <c r="Q12" s="24">
        <f>IF(AND(ISNUMBER(M12), ISNUMBER(M14)), M14-M12, "")</f>
        <v/>
      </c>
      <c r="R12" s="25">
        <f>IF(AND(ISNUMBER(M12), ISNUMBER(M14)), IF(M12&gt;0, (M14-M12)/M12, (M14-M12)/50), "")</f>
        <v/>
      </c>
      <c r="S12" s="25">
        <f>IF(AND(ISNUMBER(P12), ISNUMBER(P14)), P14-P12, "")</f>
        <v/>
      </c>
    </row>
    <row r="13">
      <c r="A13" s="26" t="n"/>
      <c r="B13" s="27" t="inlineStr">
        <is>
          <t>2. 課堂 (第2月)</t>
        </is>
      </c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  <c r="M13" s="20">
        <f>IF(COUNT(C13:L13)&gt;0, SUM(C13:L13), "")</f>
        <v/>
      </c>
      <c r="N13" s="21">
        <f>IF(COUNT(C13:L13)&gt;0, AVERAGE(C13:L13), "")</f>
        <v/>
      </c>
      <c r="O13" s="22">
        <f>IF(N13="","",IF(N13&gt;=4.5,"🟢 獨立完成",IF(N13&gt;=3.5,"🔵 口語提示",IF(N13&gt;=2.0,"🟡 肢體/部分協助","🟠 大量協助"))))</f>
        <v/>
      </c>
      <c r="P13" s="23">
        <f>IF(ISNUMBER(M13), M13/50, "")</f>
        <v/>
      </c>
      <c r="Q13" s="26" t="n"/>
      <c r="R13" s="26" t="n"/>
      <c r="S13" s="26" t="n"/>
    </row>
    <row r="14">
      <c r="A14" s="26" t="n"/>
      <c r="B14" s="28" t="inlineStr">
        <is>
          <t>3. 後測 (第3月)</t>
        </is>
      </c>
      <c r="C14" s="19" t="inlineStr"/>
      <c r="D14" s="19" t="inlineStr"/>
      <c r="E14" s="19" t="inlineStr"/>
      <c r="F14" s="19" t="inlineStr"/>
      <c r="G14" s="19" t="inlineStr"/>
      <c r="H14" s="19" t="inlineStr"/>
      <c r="I14" s="19" t="inlineStr"/>
      <c r="J14" s="19" t="inlineStr"/>
      <c r="K14" s="19" t="inlineStr"/>
      <c r="L14" s="19" t="inlineStr"/>
      <c r="M14" s="20">
        <f>IF(COUNT(C14:L14)&gt;0, SUM(C14:L14), "")</f>
        <v/>
      </c>
      <c r="N14" s="21">
        <f>IF(COUNT(C14:L14)&gt;0, AVERAGE(C14:L14), "")</f>
        <v/>
      </c>
      <c r="O14" s="22">
        <f>IF(N14="","",IF(N14&gt;=4.5,"🟢 獨立完成",IF(N14&gt;=3.5,"🔵 口語提示",IF(N14&gt;=2.0,"🟡 肢體/部分協助","🟠 大量協助"))))</f>
        <v/>
      </c>
      <c r="P14" s="23">
        <f>IF(ISNUMBER(M14), M14/50, "")</f>
        <v/>
      </c>
      <c r="Q14" s="26" t="n"/>
      <c r="R14" s="26" t="n"/>
      <c r="S14" s="26" t="n"/>
    </row>
    <row r="15">
      <c r="A15" s="17" t="inlineStr">
        <is>
          <t>學員 4</t>
        </is>
      </c>
      <c r="B15" s="18" t="inlineStr">
        <is>
          <t>1. 前測 (第1月)</t>
        </is>
      </c>
      <c r="C15" s="19" t="inlineStr"/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9" t="inlineStr"/>
      <c r="L15" s="19" t="inlineStr"/>
      <c r="M15" s="20">
        <f>IF(COUNT(C15:L15)&gt;0, SUM(C15:L15), "")</f>
        <v/>
      </c>
      <c r="N15" s="21">
        <f>IF(COUNT(C15:L15)&gt;0, AVERAGE(C15:L15), "")</f>
        <v/>
      </c>
      <c r="O15" s="22">
        <f>IF(N15="","",IF(N15&gt;=4.5,"🟢 獨立完成",IF(N15&gt;=3.5,"🔵 口語提示",IF(N15&gt;=2.0,"🟡 肢體/部分協助","🟠 大量協助"))))</f>
        <v/>
      </c>
      <c r="P15" s="23">
        <f>IF(ISNUMBER(M15), M15/50, "")</f>
        <v/>
      </c>
      <c r="Q15" s="24">
        <f>IF(AND(ISNUMBER(M15), ISNUMBER(M17)), M17-M15, "")</f>
        <v/>
      </c>
      <c r="R15" s="25">
        <f>IF(AND(ISNUMBER(M15), ISNUMBER(M17)), IF(M15&gt;0, (M17-M15)/M15, (M17-M15)/50), "")</f>
        <v/>
      </c>
      <c r="S15" s="25">
        <f>IF(AND(ISNUMBER(P15), ISNUMBER(P17)), P17-P15, "")</f>
        <v/>
      </c>
    </row>
    <row r="16">
      <c r="A16" s="26" t="n"/>
      <c r="B16" s="27" t="inlineStr">
        <is>
          <t>2. 課堂 (第2月)</t>
        </is>
      </c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9" t="inlineStr"/>
      <c r="L16" s="19" t="inlineStr"/>
      <c r="M16" s="20">
        <f>IF(COUNT(C16:L16)&gt;0, SUM(C16:L16), "")</f>
        <v/>
      </c>
      <c r="N16" s="21">
        <f>IF(COUNT(C16:L16)&gt;0, AVERAGE(C16:L16), "")</f>
        <v/>
      </c>
      <c r="O16" s="22">
        <f>IF(N16="","",IF(N16&gt;=4.5,"🟢 獨立完成",IF(N16&gt;=3.5,"🔵 口語提示",IF(N16&gt;=2.0,"🟡 肢體/部分協助","🟠 大量協助"))))</f>
        <v/>
      </c>
      <c r="P16" s="23">
        <f>IF(ISNUMBER(M16), M16/50, "")</f>
        <v/>
      </c>
      <c r="Q16" s="26" t="n"/>
      <c r="R16" s="26" t="n"/>
      <c r="S16" s="26" t="n"/>
    </row>
    <row r="17">
      <c r="A17" s="26" t="n"/>
      <c r="B17" s="28" t="inlineStr">
        <is>
          <t>3. 後測 (第3月)</t>
        </is>
      </c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  <c r="M17" s="20">
        <f>IF(COUNT(C17:L17)&gt;0, SUM(C17:L17), "")</f>
        <v/>
      </c>
      <c r="N17" s="21">
        <f>IF(COUNT(C17:L17)&gt;0, AVERAGE(C17:L17), "")</f>
        <v/>
      </c>
      <c r="O17" s="22">
        <f>IF(N17="","",IF(N17&gt;=4.5,"🟢 獨立完成",IF(N17&gt;=3.5,"🔵 口語提示",IF(N17&gt;=2.0,"🟡 肢體/部分協助","🟠 大量協助"))))</f>
        <v/>
      </c>
      <c r="P17" s="23">
        <f>IF(ISNUMBER(M17), M17/50, "")</f>
        <v/>
      </c>
      <c r="Q17" s="26" t="n"/>
      <c r="R17" s="26" t="n"/>
      <c r="S17" s="26" t="n"/>
    </row>
    <row r="18">
      <c r="A18" s="17" t="inlineStr">
        <is>
          <t>學員 5</t>
        </is>
      </c>
      <c r="B18" s="18" t="inlineStr">
        <is>
          <t>1. 前測 (第1月)</t>
        </is>
      </c>
      <c r="C18" s="19" t="inlineStr"/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9" t="inlineStr"/>
      <c r="L18" s="19" t="inlineStr"/>
      <c r="M18" s="20">
        <f>IF(COUNT(C18:L18)&gt;0, SUM(C18:L18), "")</f>
        <v/>
      </c>
      <c r="N18" s="21">
        <f>IF(COUNT(C18:L18)&gt;0, AVERAGE(C18:L18), "")</f>
        <v/>
      </c>
      <c r="O18" s="22">
        <f>IF(N18="","",IF(N18&gt;=4.5,"🟢 獨立完成",IF(N18&gt;=3.5,"🔵 口語提示",IF(N18&gt;=2.0,"🟡 肢體/部分協助","🟠 大量協助"))))</f>
        <v/>
      </c>
      <c r="P18" s="23">
        <f>IF(ISNUMBER(M18), M18/50, "")</f>
        <v/>
      </c>
      <c r="Q18" s="24">
        <f>IF(AND(ISNUMBER(M18), ISNUMBER(M20)), M20-M18, "")</f>
        <v/>
      </c>
      <c r="R18" s="25">
        <f>IF(AND(ISNUMBER(M18), ISNUMBER(M20)), IF(M18&gt;0, (M20-M18)/M18, (M20-M18)/50), "")</f>
        <v/>
      </c>
      <c r="S18" s="25">
        <f>IF(AND(ISNUMBER(P18), ISNUMBER(P20)), P20-P18, "")</f>
        <v/>
      </c>
    </row>
    <row r="19">
      <c r="A19" s="26" t="n"/>
      <c r="B19" s="27" t="inlineStr">
        <is>
          <t>2. 課堂 (第2月)</t>
        </is>
      </c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9" t="inlineStr"/>
      <c r="L19" s="19" t="inlineStr"/>
      <c r="M19" s="20">
        <f>IF(COUNT(C19:L19)&gt;0, SUM(C19:L19), "")</f>
        <v/>
      </c>
      <c r="N19" s="21">
        <f>IF(COUNT(C19:L19)&gt;0, AVERAGE(C19:L19), "")</f>
        <v/>
      </c>
      <c r="O19" s="22">
        <f>IF(N19="","",IF(N19&gt;=4.5,"🟢 獨立完成",IF(N19&gt;=3.5,"🔵 口語提示",IF(N19&gt;=2.0,"🟡 肢體/部分協助","🟠 大量協助"))))</f>
        <v/>
      </c>
      <c r="P19" s="23">
        <f>IF(ISNUMBER(M19), M19/50, "")</f>
        <v/>
      </c>
      <c r="Q19" s="26" t="n"/>
      <c r="R19" s="26" t="n"/>
      <c r="S19" s="26" t="n"/>
    </row>
    <row r="20">
      <c r="A20" s="26" t="n"/>
      <c r="B20" s="28" t="inlineStr">
        <is>
          <t>3. 後測 (第3月)</t>
        </is>
      </c>
      <c r="C20" s="19" t="inlineStr"/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9" t="inlineStr"/>
      <c r="L20" s="19" t="inlineStr"/>
      <c r="M20" s="20">
        <f>IF(COUNT(C20:L20)&gt;0, SUM(C20:L20), "")</f>
        <v/>
      </c>
      <c r="N20" s="21">
        <f>IF(COUNT(C20:L20)&gt;0, AVERAGE(C20:L20), "")</f>
        <v/>
      </c>
      <c r="O20" s="22">
        <f>IF(N20="","",IF(N20&gt;=4.5,"🟢 獨立完成",IF(N20&gt;=3.5,"🔵 口語提示",IF(N20&gt;=2.0,"🟡 肢體/部分協助","🟠 大量協助"))))</f>
        <v/>
      </c>
      <c r="P20" s="23">
        <f>IF(ISNUMBER(M20), M20/50, "")</f>
        <v/>
      </c>
      <c r="Q20" s="26" t="n"/>
      <c r="R20" s="26" t="n"/>
      <c r="S20" s="26" t="n"/>
    </row>
    <row r="21">
      <c r="A21" s="17" t="inlineStr">
        <is>
          <t>學員 6</t>
        </is>
      </c>
      <c r="B21" s="18" t="inlineStr">
        <is>
          <t>1. 前測 (第1月)</t>
        </is>
      </c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  <c r="M21" s="20">
        <f>IF(COUNT(C21:L21)&gt;0, SUM(C21:L21), "")</f>
        <v/>
      </c>
      <c r="N21" s="21">
        <f>IF(COUNT(C21:L21)&gt;0, AVERAGE(C21:L21), "")</f>
        <v/>
      </c>
      <c r="O21" s="22">
        <f>IF(N21="","",IF(N21&gt;=4.5,"🟢 獨立完成",IF(N21&gt;=3.5,"🔵 口語提示",IF(N21&gt;=2.0,"🟡 肢體/部分協助","🟠 大量協助"))))</f>
        <v/>
      </c>
      <c r="P21" s="23">
        <f>IF(ISNUMBER(M21), M21/50, "")</f>
        <v/>
      </c>
      <c r="Q21" s="24">
        <f>IF(AND(ISNUMBER(M21), ISNUMBER(M23)), M23-M21, "")</f>
        <v/>
      </c>
      <c r="R21" s="25">
        <f>IF(AND(ISNUMBER(M21), ISNUMBER(M23)), IF(M21&gt;0, (M23-M21)/M21, (M23-M21)/50), "")</f>
        <v/>
      </c>
      <c r="S21" s="25">
        <f>IF(AND(ISNUMBER(P21), ISNUMBER(P23)), P23-P21, "")</f>
        <v/>
      </c>
    </row>
    <row r="22">
      <c r="A22" s="26" t="n"/>
      <c r="B22" s="27" t="inlineStr">
        <is>
          <t>2. 課堂 (第2月)</t>
        </is>
      </c>
      <c r="C22" s="19" t="inlineStr"/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9" t="inlineStr"/>
      <c r="L22" s="19" t="inlineStr"/>
      <c r="M22" s="20">
        <f>IF(COUNT(C22:L22)&gt;0, SUM(C22:L22), "")</f>
        <v/>
      </c>
      <c r="N22" s="21">
        <f>IF(COUNT(C22:L22)&gt;0, AVERAGE(C22:L22), "")</f>
        <v/>
      </c>
      <c r="O22" s="22">
        <f>IF(N22="","",IF(N22&gt;=4.5,"🟢 獨立完成",IF(N22&gt;=3.5,"🔵 口語提示",IF(N22&gt;=2.0,"🟡 肢體/部分協助","🟠 大量協助"))))</f>
        <v/>
      </c>
      <c r="P22" s="23">
        <f>IF(ISNUMBER(M22), M22/50, "")</f>
        <v/>
      </c>
      <c r="Q22" s="26" t="n"/>
      <c r="R22" s="26" t="n"/>
      <c r="S22" s="26" t="n"/>
    </row>
    <row r="23">
      <c r="A23" s="26" t="n"/>
      <c r="B23" s="28" t="inlineStr">
        <is>
          <t>3. 後測 (第3月)</t>
        </is>
      </c>
      <c r="C23" s="19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  <c r="L23" s="19" t="inlineStr"/>
      <c r="M23" s="20">
        <f>IF(COUNT(C23:L23)&gt;0, SUM(C23:L23), "")</f>
        <v/>
      </c>
      <c r="N23" s="21">
        <f>IF(COUNT(C23:L23)&gt;0, AVERAGE(C23:L23), "")</f>
        <v/>
      </c>
      <c r="O23" s="22">
        <f>IF(N23="","",IF(N23&gt;=4.5,"🟢 獨立完成",IF(N23&gt;=3.5,"🔵 口語提示",IF(N23&gt;=2.0,"🟡 肢體/部分協助","🟠 大量協助"))))</f>
        <v/>
      </c>
      <c r="P23" s="23">
        <f>IF(ISNUMBER(M23), M23/50, "")</f>
        <v/>
      </c>
      <c r="Q23" s="26" t="n"/>
      <c r="R23" s="26" t="n"/>
      <c r="S23" s="26" t="n"/>
    </row>
    <row r="24">
      <c r="A24" s="17" t="inlineStr">
        <is>
          <t>學員 7</t>
        </is>
      </c>
      <c r="B24" s="18" t="inlineStr">
        <is>
          <t>1. 前測 (第1月)</t>
        </is>
      </c>
      <c r="C24" s="19" t="inlineStr"/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19" t="inlineStr"/>
      <c r="L24" s="19" t="inlineStr"/>
      <c r="M24" s="20">
        <f>IF(COUNT(C24:L24)&gt;0, SUM(C24:L24), "")</f>
        <v/>
      </c>
      <c r="N24" s="21">
        <f>IF(COUNT(C24:L24)&gt;0, AVERAGE(C24:L24), "")</f>
        <v/>
      </c>
      <c r="O24" s="22">
        <f>IF(N24="","",IF(N24&gt;=4.5,"🟢 獨立完成",IF(N24&gt;=3.5,"🔵 口語提示",IF(N24&gt;=2.0,"🟡 肢體/部分協助","🟠 大量協助"))))</f>
        <v/>
      </c>
      <c r="P24" s="23">
        <f>IF(ISNUMBER(M24), M24/50, "")</f>
        <v/>
      </c>
      <c r="Q24" s="24">
        <f>IF(AND(ISNUMBER(M24), ISNUMBER(M26)), M26-M24, "")</f>
        <v/>
      </c>
      <c r="R24" s="25">
        <f>IF(AND(ISNUMBER(M24), ISNUMBER(M26)), IF(M24&gt;0, (M26-M24)/M24, (M26-M24)/50), "")</f>
        <v/>
      </c>
      <c r="S24" s="25">
        <f>IF(AND(ISNUMBER(P24), ISNUMBER(P26)), P26-P24, "")</f>
        <v/>
      </c>
    </row>
    <row r="25">
      <c r="A25" s="26" t="n"/>
      <c r="B25" s="27" t="inlineStr">
        <is>
          <t>2. 課堂 (第2月)</t>
        </is>
      </c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19" t="inlineStr"/>
      <c r="L25" s="19" t="inlineStr"/>
      <c r="M25" s="20">
        <f>IF(COUNT(C25:L25)&gt;0, SUM(C25:L25), "")</f>
        <v/>
      </c>
      <c r="N25" s="21">
        <f>IF(COUNT(C25:L25)&gt;0, AVERAGE(C25:L25), "")</f>
        <v/>
      </c>
      <c r="O25" s="22">
        <f>IF(N25="","",IF(N25&gt;=4.5,"🟢 獨立完成",IF(N25&gt;=3.5,"🔵 口語提示",IF(N25&gt;=2.0,"🟡 肢體/部分協助","🟠 大量協助"))))</f>
        <v/>
      </c>
      <c r="P25" s="23">
        <f>IF(ISNUMBER(M25), M25/50, "")</f>
        <v/>
      </c>
      <c r="Q25" s="26" t="n"/>
      <c r="R25" s="26" t="n"/>
      <c r="S25" s="26" t="n"/>
    </row>
    <row r="26">
      <c r="A26" s="26" t="n"/>
      <c r="B26" s="28" t="inlineStr">
        <is>
          <t>3. 後測 (第3月)</t>
        </is>
      </c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  <c r="J26" s="19" t="inlineStr"/>
      <c r="K26" s="19" t="inlineStr"/>
      <c r="L26" s="19" t="inlineStr"/>
      <c r="M26" s="20">
        <f>IF(COUNT(C26:L26)&gt;0, SUM(C26:L26), "")</f>
        <v/>
      </c>
      <c r="N26" s="21">
        <f>IF(COUNT(C26:L26)&gt;0, AVERAGE(C26:L26), "")</f>
        <v/>
      </c>
      <c r="O26" s="22">
        <f>IF(N26="","",IF(N26&gt;=4.5,"🟢 獨立完成",IF(N26&gt;=3.5,"🔵 口語提示",IF(N26&gt;=2.0,"🟡 肢體/部分協助","🟠 大量協助"))))</f>
        <v/>
      </c>
      <c r="P26" s="23">
        <f>IF(ISNUMBER(M26), M26/50, "")</f>
        <v/>
      </c>
      <c r="Q26" s="26" t="n"/>
      <c r="R26" s="26" t="n"/>
      <c r="S26" s="26" t="n"/>
    </row>
    <row r="27">
      <c r="A27" s="17" t="inlineStr">
        <is>
          <t>學員 8</t>
        </is>
      </c>
      <c r="B27" s="18" t="inlineStr">
        <is>
          <t>1. 前測 (第1月)</t>
        </is>
      </c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  <c r="M27" s="20">
        <f>IF(COUNT(C27:L27)&gt;0, SUM(C27:L27), "")</f>
        <v/>
      </c>
      <c r="N27" s="21">
        <f>IF(COUNT(C27:L27)&gt;0, AVERAGE(C27:L27), "")</f>
        <v/>
      </c>
      <c r="O27" s="22">
        <f>IF(N27="","",IF(N27&gt;=4.5,"🟢 獨立完成",IF(N27&gt;=3.5,"🔵 口語提示",IF(N27&gt;=2.0,"🟡 肢體/部分協助","🟠 大量協助"))))</f>
        <v/>
      </c>
      <c r="P27" s="23">
        <f>IF(ISNUMBER(M27), M27/50, "")</f>
        <v/>
      </c>
      <c r="Q27" s="24">
        <f>IF(AND(ISNUMBER(M27), ISNUMBER(M29)), M29-M27, "")</f>
        <v/>
      </c>
      <c r="R27" s="25">
        <f>IF(AND(ISNUMBER(M27), ISNUMBER(M29)), IF(M27&gt;0, (M29-M27)/M27, (M29-M27)/50), "")</f>
        <v/>
      </c>
      <c r="S27" s="25">
        <f>IF(AND(ISNUMBER(P27), ISNUMBER(P29)), P29-P27, "")</f>
        <v/>
      </c>
    </row>
    <row r="28">
      <c r="A28" s="26" t="n"/>
      <c r="B28" s="27" t="inlineStr">
        <is>
          <t>2. 課堂 (第2月)</t>
        </is>
      </c>
      <c r="C28" s="19" t="inlineStr"/>
      <c r="D28" s="19" t="inlineStr"/>
      <c r="E28" s="19" t="inlineStr"/>
      <c r="F28" s="19" t="inlineStr"/>
      <c r="G28" s="19" t="inlineStr"/>
      <c r="H28" s="19" t="inlineStr"/>
      <c r="I28" s="19" t="inlineStr"/>
      <c r="J28" s="19" t="inlineStr"/>
      <c r="K28" s="19" t="inlineStr"/>
      <c r="L28" s="19" t="inlineStr"/>
      <c r="M28" s="20">
        <f>IF(COUNT(C28:L28)&gt;0, SUM(C28:L28), "")</f>
        <v/>
      </c>
      <c r="N28" s="21">
        <f>IF(COUNT(C28:L28)&gt;0, AVERAGE(C28:L28), "")</f>
        <v/>
      </c>
      <c r="O28" s="22">
        <f>IF(N28="","",IF(N28&gt;=4.5,"🟢 獨立完成",IF(N28&gt;=3.5,"🔵 口語提示",IF(N28&gt;=2.0,"🟡 肢體/部分協助","🟠 大量協助"))))</f>
        <v/>
      </c>
      <c r="P28" s="23">
        <f>IF(ISNUMBER(M28), M28/50, "")</f>
        <v/>
      </c>
      <c r="Q28" s="26" t="n"/>
      <c r="R28" s="26" t="n"/>
      <c r="S28" s="26" t="n"/>
    </row>
    <row r="29">
      <c r="A29" s="26" t="n"/>
      <c r="B29" s="28" t="inlineStr">
        <is>
          <t>3. 後測 (第3月)</t>
        </is>
      </c>
      <c r="C29" s="19" t="inlineStr"/>
      <c r="D29" s="19" t="inlineStr"/>
      <c r="E29" s="19" t="inlineStr"/>
      <c r="F29" s="19" t="inlineStr"/>
      <c r="G29" s="19" t="inlineStr"/>
      <c r="H29" s="19" t="inlineStr"/>
      <c r="I29" s="19" t="inlineStr"/>
      <c r="J29" s="19" t="inlineStr"/>
      <c r="K29" s="19" t="inlineStr"/>
      <c r="L29" s="19" t="inlineStr"/>
      <c r="M29" s="20">
        <f>IF(COUNT(C29:L29)&gt;0, SUM(C29:L29), "")</f>
        <v/>
      </c>
      <c r="N29" s="21">
        <f>IF(COUNT(C29:L29)&gt;0, AVERAGE(C29:L29), "")</f>
        <v/>
      </c>
      <c r="O29" s="22">
        <f>IF(N29="","",IF(N29&gt;=4.5,"🟢 獨立完成",IF(N29&gt;=3.5,"🔵 口語提示",IF(N29&gt;=2.0,"🟡 肢體/部分協助","🟠 大量協助"))))</f>
        <v/>
      </c>
      <c r="P29" s="23">
        <f>IF(ISNUMBER(M29), M29/50, "")</f>
        <v/>
      </c>
      <c r="Q29" s="26" t="n"/>
      <c r="R29" s="26" t="n"/>
      <c r="S29" s="26" t="n"/>
    </row>
    <row r="30">
      <c r="A30" s="29" t="inlineStr">
        <is>
          <t>全班平均常模</t>
        </is>
      </c>
      <c r="C30" s="30">
        <f>IFERROR(AVERAGE(C6:C29), "-")</f>
        <v/>
      </c>
      <c r="D30" s="30">
        <f>IFERROR(AVERAGE(D6:D29), "-")</f>
        <v/>
      </c>
      <c r="E30" s="30">
        <f>IFERROR(AVERAGE(E6:E29), "-")</f>
        <v/>
      </c>
      <c r="F30" s="30">
        <f>IFERROR(AVERAGE(F6:F29), "-")</f>
        <v/>
      </c>
      <c r="G30" s="30">
        <f>IFERROR(AVERAGE(G6:G29), "-")</f>
        <v/>
      </c>
      <c r="H30" s="30">
        <f>IFERROR(AVERAGE(H6:H29), "-")</f>
        <v/>
      </c>
      <c r="I30" s="30">
        <f>IFERROR(AVERAGE(I6:I29), "-")</f>
        <v/>
      </c>
      <c r="J30" s="30">
        <f>IFERROR(AVERAGE(J6:J29), "-")</f>
        <v/>
      </c>
      <c r="K30" s="30">
        <f>IFERROR(AVERAGE(K6:K29), "-")</f>
        <v/>
      </c>
      <c r="L30" s="30">
        <f>IFERROR(AVERAGE(L6:L29), "-")</f>
        <v/>
      </c>
      <c r="M30" s="30">
        <f>IFERROR(AVERAGE(M6:M29), "-")</f>
        <v/>
      </c>
      <c r="N30" s="30">
        <f>IFERROR(AVERAGE(N6:N29), "-")</f>
        <v/>
      </c>
      <c r="O30" s="30" t="inlineStr">
        <is>
          <t>-</t>
        </is>
      </c>
      <c r="P30" s="30">
        <f>IFERROR(AVERAGE(P6:P29), "-")</f>
        <v/>
      </c>
      <c r="Q30" s="30">
        <f>IFERROR(AVERAGE(Q6:Q29), "-")</f>
        <v/>
      </c>
      <c r="R30" s="30">
        <f>IFERROR(AVERAGE(R6:R29), "-")</f>
        <v/>
      </c>
      <c r="S30" s="30">
        <f>IFERROR(AVERAGE(S6:S29), "-")</f>
        <v/>
      </c>
    </row>
    <row r="33">
      <c r="A33" s="31" t="inlineStr">
        <is>
          <t>【Q3 檢核指標項目清單參照】</t>
        </is>
      </c>
    </row>
    <row r="34">
      <c r="A34" s="32" t="inlineStr">
        <is>
          <t>指標 1</t>
        </is>
      </c>
      <c r="B34" s="33" t="inlineStr">
        <is>
          <t>1. 能辨識活動區域周遭的危險物品（剪刀、熱水等）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</row>
    <row r="35">
      <c r="A35" s="32" t="inlineStr">
        <is>
          <t>指標 2</t>
        </is>
      </c>
      <c r="B35" s="33" t="inlineStr">
        <is>
          <t>2. 遇到緊急或意外狀況時能立即停止原本手邊活動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</row>
    <row r="36">
      <c r="A36" s="32" t="inlineStr">
        <is>
          <t>指標 3</t>
        </is>
      </c>
      <c r="B36" s="33" t="inlineStr">
        <is>
          <t>3. 遇到他人跌倒或發作能協助移開周遭危險物品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</row>
    <row r="37">
      <c r="A37" s="32" t="inlineStr">
        <is>
          <t>指標 4</t>
        </is>
      </c>
      <c r="B37" s="33" t="inlineStr">
        <is>
          <t>4. 能知道同儕癲癇發作時「不可強行壓制或塞東西入嘴」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>
      <c r="A38" s="32" t="inlineStr">
        <is>
          <t>指標 5</t>
        </is>
      </c>
      <c r="B38" s="33" t="inlineStr">
        <is>
          <t>5. 能聽從指示維持現場安全與通風環境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>
      <c r="A39" s="32" t="inlineStr">
        <is>
          <t>指標 6</t>
        </is>
      </c>
      <c r="B39" s="33" t="inlineStr">
        <is>
          <t>6. 發生意外事件時能知道需要立刻尋求成人/支持者協助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>
      <c r="A40" s="32" t="inlineStr">
        <is>
          <t>指標 7</t>
        </is>
      </c>
      <c r="B40" s="33" t="inlineStr">
        <is>
          <t>7. 遇到危急事件時能大聲呼救或通知他人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>
      <c r="A41" s="32" t="inlineStr">
        <is>
          <t>指標 8</t>
        </is>
      </c>
      <c r="B41" s="33" t="inlineStr">
        <is>
          <t>8. 能說出或指出緊急電話「119」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</row>
    <row r="42">
      <c r="A42" s="32" t="inlineStr">
        <is>
          <t>指標 9</t>
        </is>
      </c>
      <c r="B42" s="33" t="inlineStr">
        <is>
          <t>9. 能清楚說出自己的姓名、所在位置等基本報案資訊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</row>
    <row r="43">
      <c r="A43" s="32" t="inlineStr">
        <is>
          <t>指標 10</t>
        </is>
      </c>
      <c r="B43" s="33" t="inlineStr">
        <is>
          <t>10. 遇到自己無法處理的情況能主動向外界求助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</row>
  </sheetData>
  <mergeCells count="47">
    <mergeCell ref="B35:L35"/>
    <mergeCell ref="Q9:Q11"/>
    <mergeCell ref="A21:A23"/>
    <mergeCell ref="A30:B30"/>
    <mergeCell ref="S9:S11"/>
    <mergeCell ref="A12:A14"/>
    <mergeCell ref="A1:S2"/>
    <mergeCell ref="Q6:Q8"/>
    <mergeCell ref="Q15:Q17"/>
    <mergeCell ref="S15:S17"/>
    <mergeCell ref="S24:S26"/>
    <mergeCell ref="Q27:Q29"/>
    <mergeCell ref="R18:R20"/>
    <mergeCell ref="B43:L43"/>
    <mergeCell ref="R9:R11"/>
    <mergeCell ref="B41:L41"/>
    <mergeCell ref="B39:L39"/>
    <mergeCell ref="A15:A17"/>
    <mergeCell ref="B42:L42"/>
    <mergeCell ref="A24:A26"/>
    <mergeCell ref="A9:A11"/>
    <mergeCell ref="Q18:Q20"/>
    <mergeCell ref="S18:S20"/>
    <mergeCell ref="Q12:Q14"/>
    <mergeCell ref="B38:L38"/>
    <mergeCell ref="A4:A5"/>
    <mergeCell ref="S12:S14"/>
    <mergeCell ref="Q21:Q23"/>
    <mergeCell ref="S21:S23"/>
    <mergeCell ref="B34:L34"/>
    <mergeCell ref="B37:L37"/>
    <mergeCell ref="S27:S29"/>
    <mergeCell ref="Q24:Q26"/>
    <mergeCell ref="A18:A20"/>
    <mergeCell ref="A6:A8"/>
    <mergeCell ref="R6:R8"/>
    <mergeCell ref="R24:R26"/>
    <mergeCell ref="B40:L40"/>
    <mergeCell ref="B36:L36"/>
    <mergeCell ref="B4:B5"/>
    <mergeCell ref="R12:R14"/>
    <mergeCell ref="R15:R17"/>
    <mergeCell ref="R21:R23"/>
    <mergeCell ref="A3:S3"/>
    <mergeCell ref="R27:R29"/>
    <mergeCell ref="S6:S8"/>
    <mergeCell ref="A27:A2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43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6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10" customWidth="1" min="13" max="13"/>
    <col width="9" customWidth="1" min="14" max="14"/>
    <col width="18" customWidth="1" min="15" max="15"/>
    <col width="10" customWidth="1" min="16" max="16"/>
    <col width="11" customWidth="1" min="17" max="17"/>
    <col width="11" customWidth="1" min="18" max="18"/>
    <col width="13" customWidth="1" min="19" max="19"/>
  </cols>
  <sheetData>
    <row r="1">
      <c r="A1" s="10" t="inlineStr">
        <is>
          <t>第四季 (10~12月)：身體自主與健康自我倡議 - 學員前測／課堂平時／後測評量打分表</t>
        </is>
      </c>
    </row>
    <row r="2"/>
    <row r="3">
      <c r="A3" s="11" t="inlineStr">
        <is>
          <t>【評分提示等級】5:可獨立完成 ｜ 4:口語提示 ｜ 3:肢體協助 ｜ 2:部分協助 ｜ 1:大量協助 ｜ 0:無法完成 (在指標 1~10 欄位填入 0~5 分)</t>
        </is>
      </c>
    </row>
    <row r="4">
      <c r="A4" s="12" t="inlineStr">
        <is>
          <t>學員姓名</t>
        </is>
      </c>
      <c r="B4" s="12" t="inlineStr">
        <is>
          <t>評量階段</t>
        </is>
      </c>
      <c r="C4" s="13" t="inlineStr">
        <is>
          <t>指標 1</t>
        </is>
      </c>
      <c r="D4" s="13" t="inlineStr">
        <is>
          <t>指標 2</t>
        </is>
      </c>
      <c r="E4" s="13" t="inlineStr">
        <is>
          <t>指標 3</t>
        </is>
      </c>
      <c r="F4" s="13" t="inlineStr">
        <is>
          <t>指標 4</t>
        </is>
      </c>
      <c r="G4" s="13" t="inlineStr">
        <is>
          <t>指標 5</t>
        </is>
      </c>
      <c r="H4" s="13" t="inlineStr">
        <is>
          <t>指標 6</t>
        </is>
      </c>
      <c r="I4" s="13" t="inlineStr">
        <is>
          <t>指標 7</t>
        </is>
      </c>
      <c r="J4" s="13" t="inlineStr">
        <is>
          <t>指標 8</t>
        </is>
      </c>
      <c r="K4" s="13" t="inlineStr">
        <is>
          <t>指標 9</t>
        </is>
      </c>
      <c r="L4" s="13" t="inlineStr">
        <is>
          <t>指標 10</t>
        </is>
      </c>
      <c r="M4" s="14" t="inlineStr">
        <is>
          <t>總得分</t>
        </is>
      </c>
      <c r="N4" s="14" t="inlineStr">
        <is>
          <t>平均分</t>
        </is>
      </c>
      <c r="O4" s="14" t="inlineStr">
        <is>
          <t>學習階段判定</t>
        </is>
      </c>
      <c r="P4" s="14" t="inlineStr">
        <is>
          <t>達成率</t>
        </is>
      </c>
      <c r="Q4" s="14" t="inlineStr">
        <is>
          <t>進步分數</t>
        </is>
      </c>
      <c r="R4" s="14" t="inlineStr">
        <is>
          <t>進步率</t>
        </is>
      </c>
      <c r="S4" s="14" t="inlineStr">
        <is>
          <t>成長百分點</t>
        </is>
      </c>
    </row>
    <row r="5">
      <c r="C5" s="15" t="inlineStr">
        <is>
          <t>(0~5分)</t>
        </is>
      </c>
      <c r="D5" s="15" t="inlineStr">
        <is>
          <t>(0~5分)</t>
        </is>
      </c>
      <c r="E5" s="15" t="inlineStr">
        <is>
          <t>(0~5分)</t>
        </is>
      </c>
      <c r="F5" s="15" t="inlineStr">
        <is>
          <t>(0~5分)</t>
        </is>
      </c>
      <c r="G5" s="15" t="inlineStr">
        <is>
          <t>(0~5分)</t>
        </is>
      </c>
      <c r="H5" s="15" t="inlineStr">
        <is>
          <t>(0~5分)</t>
        </is>
      </c>
      <c r="I5" s="15" t="inlineStr">
        <is>
          <t>(0~5分)</t>
        </is>
      </c>
      <c r="J5" s="15" t="inlineStr">
        <is>
          <t>(0~5分)</t>
        </is>
      </c>
      <c r="K5" s="15" t="inlineStr">
        <is>
          <t>(0~5分)</t>
        </is>
      </c>
      <c r="L5" s="15" t="inlineStr">
        <is>
          <t>(0~5分)</t>
        </is>
      </c>
      <c r="M5" s="16" t="inlineStr">
        <is>
          <t>(滿分50)</t>
        </is>
      </c>
      <c r="N5" s="16" t="inlineStr">
        <is>
          <t>(0~5分)</t>
        </is>
      </c>
      <c r="O5" s="16" t="inlineStr">
        <is>
          <t>(等級標記)</t>
        </is>
      </c>
      <c r="P5" s="16" t="inlineStr">
        <is>
          <t>(%)</t>
        </is>
      </c>
      <c r="Q5" s="16" t="inlineStr">
        <is>
          <t>(後-前)</t>
        </is>
      </c>
      <c r="R5" s="16" t="inlineStr">
        <is>
          <t>(%)</t>
        </is>
      </c>
      <c r="S5" s="16" t="inlineStr">
        <is>
          <t>(%pt)</t>
        </is>
      </c>
    </row>
    <row r="6">
      <c r="A6" s="17" t="inlineStr">
        <is>
          <t>學員 1</t>
        </is>
      </c>
      <c r="B6" s="18" t="inlineStr">
        <is>
          <t>1. 前測 (第1月)</t>
        </is>
      </c>
      <c r="C6" s="19" t="inlineStr"/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9" t="inlineStr"/>
      <c r="L6" s="19" t="inlineStr"/>
      <c r="M6" s="20">
        <f>IF(COUNT(C6:L6)&gt;0, SUM(C6:L6), "")</f>
        <v/>
      </c>
      <c r="N6" s="21">
        <f>IF(COUNT(C6:L6)&gt;0, AVERAGE(C6:L6), "")</f>
        <v/>
      </c>
      <c r="O6" s="22">
        <f>IF(N6="","",IF(N6&gt;=4.5,"🟢 獨立完成",IF(N6&gt;=3.5,"🔵 口語提示",IF(N6&gt;=2.0,"🟡 肢體/部分協助","🟠 大量協助"))))</f>
        <v/>
      </c>
      <c r="P6" s="23">
        <f>IF(ISNUMBER(M6), M6/50, "")</f>
        <v/>
      </c>
      <c r="Q6" s="24">
        <f>IF(AND(ISNUMBER(M6), ISNUMBER(M8)), M8-M6, "")</f>
        <v/>
      </c>
      <c r="R6" s="25">
        <f>IF(AND(ISNUMBER(M6), ISNUMBER(M8)), IF(M6&gt;0, (M8-M6)/M6, (M8-M6)/50), "")</f>
        <v/>
      </c>
      <c r="S6" s="25">
        <f>IF(AND(ISNUMBER(P6), ISNUMBER(P8)), P8-P6, "")</f>
        <v/>
      </c>
    </row>
    <row r="7">
      <c r="A7" s="26" t="n"/>
      <c r="B7" s="27" t="inlineStr">
        <is>
          <t>2. 課堂 (第2月)</t>
        </is>
      </c>
      <c r="C7" s="19" t="inlineStr"/>
      <c r="D7" s="19" t="inlineStr"/>
      <c r="E7" s="19" t="inlineStr"/>
      <c r="F7" s="19" t="inlineStr"/>
      <c r="G7" s="19" t="inlineStr"/>
      <c r="H7" s="19" t="inlineStr"/>
      <c r="I7" s="19" t="inlineStr"/>
      <c r="J7" s="19" t="inlineStr"/>
      <c r="K7" s="19" t="inlineStr"/>
      <c r="L7" s="19" t="inlineStr"/>
      <c r="M7" s="20">
        <f>IF(COUNT(C7:L7)&gt;0, SUM(C7:L7), "")</f>
        <v/>
      </c>
      <c r="N7" s="21">
        <f>IF(COUNT(C7:L7)&gt;0, AVERAGE(C7:L7), "")</f>
        <v/>
      </c>
      <c r="O7" s="22">
        <f>IF(N7="","",IF(N7&gt;=4.5,"🟢 獨立完成",IF(N7&gt;=3.5,"🔵 口語提示",IF(N7&gt;=2.0,"🟡 肢體/部分協助","🟠 大量協助"))))</f>
        <v/>
      </c>
      <c r="P7" s="23">
        <f>IF(ISNUMBER(M7), M7/50, "")</f>
        <v/>
      </c>
      <c r="Q7" s="26" t="n"/>
      <c r="R7" s="26" t="n"/>
      <c r="S7" s="26" t="n"/>
    </row>
    <row r="8">
      <c r="A8" s="26" t="n"/>
      <c r="B8" s="28" t="inlineStr">
        <is>
          <t>3. 後測 (第3月)</t>
        </is>
      </c>
      <c r="C8" s="19" t="inlineStr"/>
      <c r="D8" s="19" t="inlineStr"/>
      <c r="E8" s="19" t="inlineStr"/>
      <c r="F8" s="19" t="inlineStr"/>
      <c r="G8" s="19" t="inlineStr"/>
      <c r="H8" s="19" t="inlineStr"/>
      <c r="I8" s="19" t="inlineStr"/>
      <c r="J8" s="19" t="inlineStr"/>
      <c r="K8" s="19" t="inlineStr"/>
      <c r="L8" s="19" t="inlineStr"/>
      <c r="M8" s="20">
        <f>IF(COUNT(C8:L8)&gt;0, SUM(C8:L8), "")</f>
        <v/>
      </c>
      <c r="N8" s="21">
        <f>IF(COUNT(C8:L8)&gt;0, AVERAGE(C8:L8), "")</f>
        <v/>
      </c>
      <c r="O8" s="22">
        <f>IF(N8="","",IF(N8&gt;=4.5,"🟢 獨立完成",IF(N8&gt;=3.5,"🔵 口語提示",IF(N8&gt;=2.0,"🟡 肢體/部分協助","🟠 大量協助"))))</f>
        <v/>
      </c>
      <c r="P8" s="23">
        <f>IF(ISNUMBER(M8), M8/50, "")</f>
        <v/>
      </c>
      <c r="Q8" s="26" t="n"/>
      <c r="R8" s="26" t="n"/>
      <c r="S8" s="26" t="n"/>
    </row>
    <row r="9">
      <c r="A9" s="17" t="inlineStr">
        <is>
          <t>學員 2</t>
        </is>
      </c>
      <c r="B9" s="18" t="inlineStr">
        <is>
          <t>1. 前測 (第1月)</t>
        </is>
      </c>
      <c r="C9" s="19" t="inlineStr"/>
      <c r="D9" s="19" t="inlineStr"/>
      <c r="E9" s="19" t="inlineStr"/>
      <c r="F9" s="19" t="inlineStr"/>
      <c r="G9" s="19" t="inlineStr"/>
      <c r="H9" s="19" t="inlineStr"/>
      <c r="I9" s="19" t="inlineStr"/>
      <c r="J9" s="19" t="inlineStr"/>
      <c r="K9" s="19" t="inlineStr"/>
      <c r="L9" s="19" t="inlineStr"/>
      <c r="M9" s="20">
        <f>IF(COUNT(C9:L9)&gt;0, SUM(C9:L9), "")</f>
        <v/>
      </c>
      <c r="N9" s="21">
        <f>IF(COUNT(C9:L9)&gt;0, AVERAGE(C9:L9), "")</f>
        <v/>
      </c>
      <c r="O9" s="22">
        <f>IF(N9="","",IF(N9&gt;=4.5,"🟢 獨立完成",IF(N9&gt;=3.5,"🔵 口語提示",IF(N9&gt;=2.0,"🟡 肢體/部分協助","🟠 大量協助"))))</f>
        <v/>
      </c>
      <c r="P9" s="23">
        <f>IF(ISNUMBER(M9), M9/50, "")</f>
        <v/>
      </c>
      <c r="Q9" s="24">
        <f>IF(AND(ISNUMBER(M9), ISNUMBER(M11)), M11-M9, "")</f>
        <v/>
      </c>
      <c r="R9" s="25">
        <f>IF(AND(ISNUMBER(M9), ISNUMBER(M11)), IF(M9&gt;0, (M11-M9)/M9, (M11-M9)/50), "")</f>
        <v/>
      </c>
      <c r="S9" s="25">
        <f>IF(AND(ISNUMBER(P9), ISNUMBER(P11)), P11-P9, "")</f>
        <v/>
      </c>
    </row>
    <row r="10">
      <c r="A10" s="26" t="n"/>
      <c r="B10" s="27" t="inlineStr">
        <is>
          <t>2. 課堂 (第2月)</t>
        </is>
      </c>
      <c r="C10" s="19" t="inlineStr"/>
      <c r="D10" s="19" t="inlineStr"/>
      <c r="E10" s="19" t="inlineStr"/>
      <c r="F10" s="19" t="inlineStr"/>
      <c r="G10" s="19" t="inlineStr"/>
      <c r="H10" s="19" t="inlineStr"/>
      <c r="I10" s="19" t="inlineStr"/>
      <c r="J10" s="19" t="inlineStr"/>
      <c r="K10" s="19" t="inlineStr"/>
      <c r="L10" s="19" t="inlineStr"/>
      <c r="M10" s="20">
        <f>IF(COUNT(C10:L10)&gt;0, SUM(C10:L10), "")</f>
        <v/>
      </c>
      <c r="N10" s="21">
        <f>IF(COUNT(C10:L10)&gt;0, AVERAGE(C10:L10), "")</f>
        <v/>
      </c>
      <c r="O10" s="22">
        <f>IF(N10="","",IF(N10&gt;=4.5,"🟢 獨立完成",IF(N10&gt;=3.5,"🔵 口語提示",IF(N10&gt;=2.0,"🟡 肢體/部分協助","🟠 大量協助"))))</f>
        <v/>
      </c>
      <c r="P10" s="23">
        <f>IF(ISNUMBER(M10), M10/50, "")</f>
        <v/>
      </c>
      <c r="Q10" s="26" t="n"/>
      <c r="R10" s="26" t="n"/>
      <c r="S10" s="26" t="n"/>
    </row>
    <row r="11">
      <c r="A11" s="26" t="n"/>
      <c r="B11" s="28" t="inlineStr">
        <is>
          <t>3. 後測 (第3月)</t>
        </is>
      </c>
      <c r="C11" s="19" t="inlineStr"/>
      <c r="D11" s="19" t="inlineStr"/>
      <c r="E11" s="19" t="inlineStr"/>
      <c r="F11" s="19" t="inlineStr"/>
      <c r="G11" s="19" t="inlineStr"/>
      <c r="H11" s="19" t="inlineStr"/>
      <c r="I11" s="19" t="inlineStr"/>
      <c r="J11" s="19" t="inlineStr"/>
      <c r="K11" s="19" t="inlineStr"/>
      <c r="L11" s="19" t="inlineStr"/>
      <c r="M11" s="20">
        <f>IF(COUNT(C11:L11)&gt;0, SUM(C11:L11), "")</f>
        <v/>
      </c>
      <c r="N11" s="21">
        <f>IF(COUNT(C11:L11)&gt;0, AVERAGE(C11:L11), "")</f>
        <v/>
      </c>
      <c r="O11" s="22">
        <f>IF(N11="","",IF(N11&gt;=4.5,"🟢 獨立完成",IF(N11&gt;=3.5,"🔵 口語提示",IF(N11&gt;=2.0,"🟡 肢體/部分協助","🟠 大量協助"))))</f>
        <v/>
      </c>
      <c r="P11" s="23">
        <f>IF(ISNUMBER(M11), M11/50, "")</f>
        <v/>
      </c>
      <c r="Q11" s="26" t="n"/>
      <c r="R11" s="26" t="n"/>
      <c r="S11" s="26" t="n"/>
    </row>
    <row r="12">
      <c r="A12" s="17" t="inlineStr">
        <is>
          <t>學員 3</t>
        </is>
      </c>
      <c r="B12" s="18" t="inlineStr">
        <is>
          <t>1. 前測 (第1月)</t>
        </is>
      </c>
      <c r="C12" s="19" t="inlineStr"/>
      <c r="D12" s="19" t="inlineStr"/>
      <c r="E12" s="19" t="inlineStr"/>
      <c r="F12" s="19" t="inlineStr"/>
      <c r="G12" s="19" t="inlineStr"/>
      <c r="H12" s="19" t="inlineStr"/>
      <c r="I12" s="19" t="inlineStr"/>
      <c r="J12" s="19" t="inlineStr"/>
      <c r="K12" s="19" t="inlineStr"/>
      <c r="L12" s="19" t="inlineStr"/>
      <c r="M12" s="20">
        <f>IF(COUNT(C12:L12)&gt;0, SUM(C12:L12), "")</f>
        <v/>
      </c>
      <c r="N12" s="21">
        <f>IF(COUNT(C12:L12)&gt;0, AVERAGE(C12:L12), "")</f>
        <v/>
      </c>
      <c r="O12" s="22">
        <f>IF(N12="","",IF(N12&gt;=4.5,"🟢 獨立完成",IF(N12&gt;=3.5,"🔵 口語提示",IF(N12&gt;=2.0,"🟡 肢體/部分協助","🟠 大量協助"))))</f>
        <v/>
      </c>
      <c r="P12" s="23">
        <f>IF(ISNUMBER(M12), M12/50, "")</f>
        <v/>
      </c>
      <c r="Q12" s="24">
        <f>IF(AND(ISNUMBER(M12), ISNUMBER(M14)), M14-M12, "")</f>
        <v/>
      </c>
      <c r="R12" s="25">
        <f>IF(AND(ISNUMBER(M12), ISNUMBER(M14)), IF(M12&gt;0, (M14-M12)/M12, (M14-M12)/50), "")</f>
        <v/>
      </c>
      <c r="S12" s="25">
        <f>IF(AND(ISNUMBER(P12), ISNUMBER(P14)), P14-P12, "")</f>
        <v/>
      </c>
    </row>
    <row r="13">
      <c r="A13" s="26" t="n"/>
      <c r="B13" s="27" t="inlineStr">
        <is>
          <t>2. 課堂 (第2月)</t>
        </is>
      </c>
      <c r="C13" s="19" t="inlineStr"/>
      <c r="D13" s="19" t="inlineStr"/>
      <c r="E13" s="19" t="inlineStr"/>
      <c r="F13" s="19" t="inlineStr"/>
      <c r="G13" s="19" t="inlineStr"/>
      <c r="H13" s="19" t="inlineStr"/>
      <c r="I13" s="19" t="inlineStr"/>
      <c r="J13" s="19" t="inlineStr"/>
      <c r="K13" s="19" t="inlineStr"/>
      <c r="L13" s="19" t="inlineStr"/>
      <c r="M13" s="20">
        <f>IF(COUNT(C13:L13)&gt;0, SUM(C13:L13), "")</f>
        <v/>
      </c>
      <c r="N13" s="21">
        <f>IF(COUNT(C13:L13)&gt;0, AVERAGE(C13:L13), "")</f>
        <v/>
      </c>
      <c r="O13" s="22">
        <f>IF(N13="","",IF(N13&gt;=4.5,"🟢 獨立完成",IF(N13&gt;=3.5,"🔵 口語提示",IF(N13&gt;=2.0,"🟡 肢體/部分協助","🟠 大量協助"))))</f>
        <v/>
      </c>
      <c r="P13" s="23">
        <f>IF(ISNUMBER(M13), M13/50, "")</f>
        <v/>
      </c>
      <c r="Q13" s="26" t="n"/>
      <c r="R13" s="26" t="n"/>
      <c r="S13" s="26" t="n"/>
    </row>
    <row r="14">
      <c r="A14" s="26" t="n"/>
      <c r="B14" s="28" t="inlineStr">
        <is>
          <t>3. 後測 (第3月)</t>
        </is>
      </c>
      <c r="C14" s="19" t="inlineStr"/>
      <c r="D14" s="19" t="inlineStr"/>
      <c r="E14" s="19" t="inlineStr"/>
      <c r="F14" s="19" t="inlineStr"/>
      <c r="G14" s="19" t="inlineStr"/>
      <c r="H14" s="19" t="inlineStr"/>
      <c r="I14" s="19" t="inlineStr"/>
      <c r="J14" s="19" t="inlineStr"/>
      <c r="K14" s="19" t="inlineStr"/>
      <c r="L14" s="19" t="inlineStr"/>
      <c r="M14" s="20">
        <f>IF(COUNT(C14:L14)&gt;0, SUM(C14:L14), "")</f>
        <v/>
      </c>
      <c r="N14" s="21">
        <f>IF(COUNT(C14:L14)&gt;0, AVERAGE(C14:L14), "")</f>
        <v/>
      </c>
      <c r="O14" s="22">
        <f>IF(N14="","",IF(N14&gt;=4.5,"🟢 獨立完成",IF(N14&gt;=3.5,"🔵 口語提示",IF(N14&gt;=2.0,"🟡 肢體/部分協助","🟠 大量協助"))))</f>
        <v/>
      </c>
      <c r="P14" s="23">
        <f>IF(ISNUMBER(M14), M14/50, "")</f>
        <v/>
      </c>
      <c r="Q14" s="26" t="n"/>
      <c r="R14" s="26" t="n"/>
      <c r="S14" s="26" t="n"/>
    </row>
    <row r="15">
      <c r="A15" s="17" t="inlineStr">
        <is>
          <t>學員 4</t>
        </is>
      </c>
      <c r="B15" s="18" t="inlineStr">
        <is>
          <t>1. 前測 (第1月)</t>
        </is>
      </c>
      <c r="C15" s="19" t="inlineStr"/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19" t="inlineStr"/>
      <c r="L15" s="19" t="inlineStr"/>
      <c r="M15" s="20">
        <f>IF(COUNT(C15:L15)&gt;0, SUM(C15:L15), "")</f>
        <v/>
      </c>
      <c r="N15" s="21">
        <f>IF(COUNT(C15:L15)&gt;0, AVERAGE(C15:L15), "")</f>
        <v/>
      </c>
      <c r="O15" s="22">
        <f>IF(N15="","",IF(N15&gt;=4.5,"🟢 獨立完成",IF(N15&gt;=3.5,"🔵 口語提示",IF(N15&gt;=2.0,"🟡 肢體/部分協助","🟠 大量協助"))))</f>
        <v/>
      </c>
      <c r="P15" s="23">
        <f>IF(ISNUMBER(M15), M15/50, "")</f>
        <v/>
      </c>
      <c r="Q15" s="24">
        <f>IF(AND(ISNUMBER(M15), ISNUMBER(M17)), M17-M15, "")</f>
        <v/>
      </c>
      <c r="R15" s="25">
        <f>IF(AND(ISNUMBER(M15), ISNUMBER(M17)), IF(M15&gt;0, (M17-M15)/M15, (M17-M15)/50), "")</f>
        <v/>
      </c>
      <c r="S15" s="25">
        <f>IF(AND(ISNUMBER(P15), ISNUMBER(P17)), P17-P15, "")</f>
        <v/>
      </c>
    </row>
    <row r="16">
      <c r="A16" s="26" t="n"/>
      <c r="B16" s="27" t="inlineStr">
        <is>
          <t>2. 課堂 (第2月)</t>
        </is>
      </c>
      <c r="C16" s="19" t="inlineStr"/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19" t="inlineStr"/>
      <c r="L16" s="19" t="inlineStr"/>
      <c r="M16" s="20">
        <f>IF(COUNT(C16:L16)&gt;0, SUM(C16:L16), "")</f>
        <v/>
      </c>
      <c r="N16" s="21">
        <f>IF(COUNT(C16:L16)&gt;0, AVERAGE(C16:L16), "")</f>
        <v/>
      </c>
      <c r="O16" s="22">
        <f>IF(N16="","",IF(N16&gt;=4.5,"🟢 獨立完成",IF(N16&gt;=3.5,"🔵 口語提示",IF(N16&gt;=2.0,"🟡 肢體/部分協助","🟠 大量協助"))))</f>
        <v/>
      </c>
      <c r="P16" s="23">
        <f>IF(ISNUMBER(M16), M16/50, "")</f>
        <v/>
      </c>
      <c r="Q16" s="26" t="n"/>
      <c r="R16" s="26" t="n"/>
      <c r="S16" s="26" t="n"/>
    </row>
    <row r="17">
      <c r="A17" s="26" t="n"/>
      <c r="B17" s="28" t="inlineStr">
        <is>
          <t>3. 後測 (第3月)</t>
        </is>
      </c>
      <c r="C17" s="19" t="inlineStr"/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19" t="inlineStr"/>
      <c r="L17" s="19" t="inlineStr"/>
      <c r="M17" s="20">
        <f>IF(COUNT(C17:L17)&gt;0, SUM(C17:L17), "")</f>
        <v/>
      </c>
      <c r="N17" s="21">
        <f>IF(COUNT(C17:L17)&gt;0, AVERAGE(C17:L17), "")</f>
        <v/>
      </c>
      <c r="O17" s="22">
        <f>IF(N17="","",IF(N17&gt;=4.5,"🟢 獨立完成",IF(N17&gt;=3.5,"🔵 口語提示",IF(N17&gt;=2.0,"🟡 肢體/部分協助","🟠 大量協助"))))</f>
        <v/>
      </c>
      <c r="P17" s="23">
        <f>IF(ISNUMBER(M17), M17/50, "")</f>
        <v/>
      </c>
      <c r="Q17" s="26" t="n"/>
      <c r="R17" s="26" t="n"/>
      <c r="S17" s="26" t="n"/>
    </row>
    <row r="18">
      <c r="A18" s="17" t="inlineStr">
        <is>
          <t>學員 5</t>
        </is>
      </c>
      <c r="B18" s="18" t="inlineStr">
        <is>
          <t>1. 前測 (第1月)</t>
        </is>
      </c>
      <c r="C18" s="19" t="inlineStr"/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19" t="inlineStr"/>
      <c r="L18" s="19" t="inlineStr"/>
      <c r="M18" s="20">
        <f>IF(COUNT(C18:L18)&gt;0, SUM(C18:L18), "")</f>
        <v/>
      </c>
      <c r="N18" s="21">
        <f>IF(COUNT(C18:L18)&gt;0, AVERAGE(C18:L18), "")</f>
        <v/>
      </c>
      <c r="O18" s="22">
        <f>IF(N18="","",IF(N18&gt;=4.5,"🟢 獨立完成",IF(N18&gt;=3.5,"🔵 口語提示",IF(N18&gt;=2.0,"🟡 肢體/部分協助","🟠 大量協助"))))</f>
        <v/>
      </c>
      <c r="P18" s="23">
        <f>IF(ISNUMBER(M18), M18/50, "")</f>
        <v/>
      </c>
      <c r="Q18" s="24">
        <f>IF(AND(ISNUMBER(M18), ISNUMBER(M20)), M20-M18, "")</f>
        <v/>
      </c>
      <c r="R18" s="25">
        <f>IF(AND(ISNUMBER(M18), ISNUMBER(M20)), IF(M18&gt;0, (M20-M18)/M18, (M20-M18)/50), "")</f>
        <v/>
      </c>
      <c r="S18" s="25">
        <f>IF(AND(ISNUMBER(P18), ISNUMBER(P20)), P20-P18, "")</f>
        <v/>
      </c>
    </row>
    <row r="19">
      <c r="A19" s="26" t="n"/>
      <c r="B19" s="27" t="inlineStr">
        <is>
          <t>2. 課堂 (第2月)</t>
        </is>
      </c>
      <c r="C19" s="19" t="inlineStr"/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19" t="inlineStr"/>
      <c r="L19" s="19" t="inlineStr"/>
      <c r="M19" s="20">
        <f>IF(COUNT(C19:L19)&gt;0, SUM(C19:L19), "")</f>
        <v/>
      </c>
      <c r="N19" s="21">
        <f>IF(COUNT(C19:L19)&gt;0, AVERAGE(C19:L19), "")</f>
        <v/>
      </c>
      <c r="O19" s="22">
        <f>IF(N19="","",IF(N19&gt;=4.5,"🟢 獨立完成",IF(N19&gt;=3.5,"🔵 口語提示",IF(N19&gt;=2.0,"🟡 肢體/部分協助","🟠 大量協助"))))</f>
        <v/>
      </c>
      <c r="P19" s="23">
        <f>IF(ISNUMBER(M19), M19/50, "")</f>
        <v/>
      </c>
      <c r="Q19" s="26" t="n"/>
      <c r="R19" s="26" t="n"/>
      <c r="S19" s="26" t="n"/>
    </row>
    <row r="20">
      <c r="A20" s="26" t="n"/>
      <c r="B20" s="28" t="inlineStr">
        <is>
          <t>3. 後測 (第3月)</t>
        </is>
      </c>
      <c r="C20" s="19" t="inlineStr"/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19" t="inlineStr"/>
      <c r="L20" s="19" t="inlineStr"/>
      <c r="M20" s="20">
        <f>IF(COUNT(C20:L20)&gt;0, SUM(C20:L20), "")</f>
        <v/>
      </c>
      <c r="N20" s="21">
        <f>IF(COUNT(C20:L20)&gt;0, AVERAGE(C20:L20), "")</f>
        <v/>
      </c>
      <c r="O20" s="22">
        <f>IF(N20="","",IF(N20&gt;=4.5,"🟢 獨立完成",IF(N20&gt;=3.5,"🔵 口語提示",IF(N20&gt;=2.0,"🟡 肢體/部分協助","🟠 大量協助"))))</f>
        <v/>
      </c>
      <c r="P20" s="23">
        <f>IF(ISNUMBER(M20), M20/50, "")</f>
        <v/>
      </c>
      <c r="Q20" s="26" t="n"/>
      <c r="R20" s="26" t="n"/>
      <c r="S20" s="26" t="n"/>
    </row>
    <row r="21">
      <c r="A21" s="17" t="inlineStr">
        <is>
          <t>學員 6</t>
        </is>
      </c>
      <c r="B21" s="18" t="inlineStr">
        <is>
          <t>1. 前測 (第1月)</t>
        </is>
      </c>
      <c r="C21" s="19" t="inlineStr"/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19" t="inlineStr"/>
      <c r="L21" s="19" t="inlineStr"/>
      <c r="M21" s="20">
        <f>IF(COUNT(C21:L21)&gt;0, SUM(C21:L21), "")</f>
        <v/>
      </c>
      <c r="N21" s="21">
        <f>IF(COUNT(C21:L21)&gt;0, AVERAGE(C21:L21), "")</f>
        <v/>
      </c>
      <c r="O21" s="22">
        <f>IF(N21="","",IF(N21&gt;=4.5,"🟢 獨立完成",IF(N21&gt;=3.5,"🔵 口語提示",IF(N21&gt;=2.0,"🟡 肢體/部分協助","🟠 大量協助"))))</f>
        <v/>
      </c>
      <c r="P21" s="23">
        <f>IF(ISNUMBER(M21), M21/50, "")</f>
        <v/>
      </c>
      <c r="Q21" s="24">
        <f>IF(AND(ISNUMBER(M21), ISNUMBER(M23)), M23-M21, "")</f>
        <v/>
      </c>
      <c r="R21" s="25">
        <f>IF(AND(ISNUMBER(M21), ISNUMBER(M23)), IF(M21&gt;0, (M23-M21)/M21, (M23-M21)/50), "")</f>
        <v/>
      </c>
      <c r="S21" s="25">
        <f>IF(AND(ISNUMBER(P21), ISNUMBER(P23)), P23-P21, "")</f>
        <v/>
      </c>
    </row>
    <row r="22">
      <c r="A22" s="26" t="n"/>
      <c r="B22" s="27" t="inlineStr">
        <is>
          <t>2. 課堂 (第2月)</t>
        </is>
      </c>
      <c r="C22" s="19" t="inlineStr"/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19" t="inlineStr"/>
      <c r="L22" s="19" t="inlineStr"/>
      <c r="M22" s="20">
        <f>IF(COUNT(C22:L22)&gt;0, SUM(C22:L22), "")</f>
        <v/>
      </c>
      <c r="N22" s="21">
        <f>IF(COUNT(C22:L22)&gt;0, AVERAGE(C22:L22), "")</f>
        <v/>
      </c>
      <c r="O22" s="22">
        <f>IF(N22="","",IF(N22&gt;=4.5,"🟢 獨立完成",IF(N22&gt;=3.5,"🔵 口語提示",IF(N22&gt;=2.0,"🟡 肢體/部分協助","🟠 大量協助"))))</f>
        <v/>
      </c>
      <c r="P22" s="23">
        <f>IF(ISNUMBER(M22), M22/50, "")</f>
        <v/>
      </c>
      <c r="Q22" s="26" t="n"/>
      <c r="R22" s="26" t="n"/>
      <c r="S22" s="26" t="n"/>
    </row>
    <row r="23">
      <c r="A23" s="26" t="n"/>
      <c r="B23" s="28" t="inlineStr">
        <is>
          <t>3. 後測 (第3月)</t>
        </is>
      </c>
      <c r="C23" s="19" t="inlineStr"/>
      <c r="D23" s="19" t="inlineStr"/>
      <c r="E23" s="19" t="inlineStr"/>
      <c r="F23" s="19" t="inlineStr"/>
      <c r="G23" s="19" t="inlineStr"/>
      <c r="H23" s="19" t="inlineStr"/>
      <c r="I23" s="19" t="inlineStr"/>
      <c r="J23" s="19" t="inlineStr"/>
      <c r="K23" s="19" t="inlineStr"/>
      <c r="L23" s="19" t="inlineStr"/>
      <c r="M23" s="20">
        <f>IF(COUNT(C23:L23)&gt;0, SUM(C23:L23), "")</f>
        <v/>
      </c>
      <c r="N23" s="21">
        <f>IF(COUNT(C23:L23)&gt;0, AVERAGE(C23:L23), "")</f>
        <v/>
      </c>
      <c r="O23" s="22">
        <f>IF(N23="","",IF(N23&gt;=4.5,"🟢 獨立完成",IF(N23&gt;=3.5,"🔵 口語提示",IF(N23&gt;=2.0,"🟡 肢體/部分協助","🟠 大量協助"))))</f>
        <v/>
      </c>
      <c r="P23" s="23">
        <f>IF(ISNUMBER(M23), M23/50, "")</f>
        <v/>
      </c>
      <c r="Q23" s="26" t="n"/>
      <c r="R23" s="26" t="n"/>
      <c r="S23" s="26" t="n"/>
    </row>
    <row r="24">
      <c r="A24" s="17" t="inlineStr">
        <is>
          <t>學員 7</t>
        </is>
      </c>
      <c r="B24" s="18" t="inlineStr">
        <is>
          <t>1. 前測 (第1月)</t>
        </is>
      </c>
      <c r="C24" s="19" t="inlineStr"/>
      <c r="D24" s="19" t="inlineStr"/>
      <c r="E24" s="19" t="inlineStr"/>
      <c r="F24" s="19" t="inlineStr"/>
      <c r="G24" s="19" t="inlineStr"/>
      <c r="H24" s="19" t="inlineStr"/>
      <c r="I24" s="19" t="inlineStr"/>
      <c r="J24" s="19" t="inlineStr"/>
      <c r="K24" s="19" t="inlineStr"/>
      <c r="L24" s="19" t="inlineStr"/>
      <c r="M24" s="20">
        <f>IF(COUNT(C24:L24)&gt;0, SUM(C24:L24), "")</f>
        <v/>
      </c>
      <c r="N24" s="21">
        <f>IF(COUNT(C24:L24)&gt;0, AVERAGE(C24:L24), "")</f>
        <v/>
      </c>
      <c r="O24" s="22">
        <f>IF(N24="","",IF(N24&gt;=4.5,"🟢 獨立完成",IF(N24&gt;=3.5,"🔵 口語提示",IF(N24&gt;=2.0,"🟡 肢體/部分協助","🟠 大量協助"))))</f>
        <v/>
      </c>
      <c r="P24" s="23">
        <f>IF(ISNUMBER(M24), M24/50, "")</f>
        <v/>
      </c>
      <c r="Q24" s="24">
        <f>IF(AND(ISNUMBER(M24), ISNUMBER(M26)), M26-M24, "")</f>
        <v/>
      </c>
      <c r="R24" s="25">
        <f>IF(AND(ISNUMBER(M24), ISNUMBER(M26)), IF(M24&gt;0, (M26-M24)/M24, (M26-M24)/50), "")</f>
        <v/>
      </c>
      <c r="S24" s="25">
        <f>IF(AND(ISNUMBER(P24), ISNUMBER(P26)), P26-P24, "")</f>
        <v/>
      </c>
    </row>
    <row r="25">
      <c r="A25" s="26" t="n"/>
      <c r="B25" s="27" t="inlineStr">
        <is>
          <t>2. 課堂 (第2月)</t>
        </is>
      </c>
      <c r="C25" s="19" t="inlineStr"/>
      <c r="D25" s="19" t="inlineStr"/>
      <c r="E25" s="19" t="inlineStr"/>
      <c r="F25" s="19" t="inlineStr"/>
      <c r="G25" s="19" t="inlineStr"/>
      <c r="H25" s="19" t="inlineStr"/>
      <c r="I25" s="19" t="inlineStr"/>
      <c r="J25" s="19" t="inlineStr"/>
      <c r="K25" s="19" t="inlineStr"/>
      <c r="L25" s="19" t="inlineStr"/>
      <c r="M25" s="20">
        <f>IF(COUNT(C25:L25)&gt;0, SUM(C25:L25), "")</f>
        <v/>
      </c>
      <c r="N25" s="21">
        <f>IF(COUNT(C25:L25)&gt;0, AVERAGE(C25:L25), "")</f>
        <v/>
      </c>
      <c r="O25" s="22">
        <f>IF(N25="","",IF(N25&gt;=4.5,"🟢 獨立完成",IF(N25&gt;=3.5,"🔵 口語提示",IF(N25&gt;=2.0,"🟡 肢體/部分協助","🟠 大量協助"))))</f>
        <v/>
      </c>
      <c r="P25" s="23">
        <f>IF(ISNUMBER(M25), M25/50, "")</f>
        <v/>
      </c>
      <c r="Q25" s="26" t="n"/>
      <c r="R25" s="26" t="n"/>
      <c r="S25" s="26" t="n"/>
    </row>
    <row r="26">
      <c r="A26" s="26" t="n"/>
      <c r="B26" s="28" t="inlineStr">
        <is>
          <t>3. 後測 (第3月)</t>
        </is>
      </c>
      <c r="C26" s="19" t="inlineStr"/>
      <c r="D26" s="19" t="inlineStr"/>
      <c r="E26" s="19" t="inlineStr"/>
      <c r="F26" s="19" t="inlineStr"/>
      <c r="G26" s="19" t="inlineStr"/>
      <c r="H26" s="19" t="inlineStr"/>
      <c r="I26" s="19" t="inlineStr"/>
      <c r="J26" s="19" t="inlineStr"/>
      <c r="K26" s="19" t="inlineStr"/>
      <c r="L26" s="19" t="inlineStr"/>
      <c r="M26" s="20">
        <f>IF(COUNT(C26:L26)&gt;0, SUM(C26:L26), "")</f>
        <v/>
      </c>
      <c r="N26" s="21">
        <f>IF(COUNT(C26:L26)&gt;0, AVERAGE(C26:L26), "")</f>
        <v/>
      </c>
      <c r="O26" s="22">
        <f>IF(N26="","",IF(N26&gt;=4.5,"🟢 獨立完成",IF(N26&gt;=3.5,"🔵 口語提示",IF(N26&gt;=2.0,"🟡 肢體/部分協助","🟠 大量協助"))))</f>
        <v/>
      </c>
      <c r="P26" s="23">
        <f>IF(ISNUMBER(M26), M26/50, "")</f>
        <v/>
      </c>
      <c r="Q26" s="26" t="n"/>
      <c r="R26" s="26" t="n"/>
      <c r="S26" s="26" t="n"/>
    </row>
    <row r="27">
      <c r="A27" s="17" t="inlineStr">
        <is>
          <t>學員 8</t>
        </is>
      </c>
      <c r="B27" s="18" t="inlineStr">
        <is>
          <t>1. 前測 (第1月)</t>
        </is>
      </c>
      <c r="C27" s="19" t="inlineStr"/>
      <c r="D27" s="19" t="inlineStr"/>
      <c r="E27" s="19" t="inlineStr"/>
      <c r="F27" s="19" t="inlineStr"/>
      <c r="G27" s="19" t="inlineStr"/>
      <c r="H27" s="19" t="inlineStr"/>
      <c r="I27" s="19" t="inlineStr"/>
      <c r="J27" s="19" t="inlineStr"/>
      <c r="K27" s="19" t="inlineStr"/>
      <c r="L27" s="19" t="inlineStr"/>
      <c r="M27" s="20">
        <f>IF(COUNT(C27:L27)&gt;0, SUM(C27:L27), "")</f>
        <v/>
      </c>
      <c r="N27" s="21">
        <f>IF(COUNT(C27:L27)&gt;0, AVERAGE(C27:L27), "")</f>
        <v/>
      </c>
      <c r="O27" s="22">
        <f>IF(N27="","",IF(N27&gt;=4.5,"🟢 獨立完成",IF(N27&gt;=3.5,"🔵 口語提示",IF(N27&gt;=2.0,"🟡 肢體/部分協助","🟠 大量協助"))))</f>
        <v/>
      </c>
      <c r="P27" s="23">
        <f>IF(ISNUMBER(M27), M27/50, "")</f>
        <v/>
      </c>
      <c r="Q27" s="24">
        <f>IF(AND(ISNUMBER(M27), ISNUMBER(M29)), M29-M27, "")</f>
        <v/>
      </c>
      <c r="R27" s="25">
        <f>IF(AND(ISNUMBER(M27), ISNUMBER(M29)), IF(M27&gt;0, (M29-M27)/M27, (M29-M27)/50), "")</f>
        <v/>
      </c>
      <c r="S27" s="25">
        <f>IF(AND(ISNUMBER(P27), ISNUMBER(P29)), P29-P27, "")</f>
        <v/>
      </c>
    </row>
    <row r="28">
      <c r="A28" s="26" t="n"/>
      <c r="B28" s="27" t="inlineStr">
        <is>
          <t>2. 課堂 (第2月)</t>
        </is>
      </c>
      <c r="C28" s="19" t="inlineStr"/>
      <c r="D28" s="19" t="inlineStr"/>
      <c r="E28" s="19" t="inlineStr"/>
      <c r="F28" s="19" t="inlineStr"/>
      <c r="G28" s="19" t="inlineStr"/>
      <c r="H28" s="19" t="inlineStr"/>
      <c r="I28" s="19" t="inlineStr"/>
      <c r="J28" s="19" t="inlineStr"/>
      <c r="K28" s="19" t="inlineStr"/>
      <c r="L28" s="19" t="inlineStr"/>
      <c r="M28" s="20">
        <f>IF(COUNT(C28:L28)&gt;0, SUM(C28:L28), "")</f>
        <v/>
      </c>
      <c r="N28" s="21">
        <f>IF(COUNT(C28:L28)&gt;0, AVERAGE(C28:L28), "")</f>
        <v/>
      </c>
      <c r="O28" s="22">
        <f>IF(N28="","",IF(N28&gt;=4.5,"🟢 獨立完成",IF(N28&gt;=3.5,"🔵 口語提示",IF(N28&gt;=2.0,"🟡 肢體/部分協助","🟠 大量協助"))))</f>
        <v/>
      </c>
      <c r="P28" s="23">
        <f>IF(ISNUMBER(M28), M28/50, "")</f>
        <v/>
      </c>
      <c r="Q28" s="26" t="n"/>
      <c r="R28" s="26" t="n"/>
      <c r="S28" s="26" t="n"/>
    </row>
    <row r="29">
      <c r="A29" s="26" t="n"/>
      <c r="B29" s="28" t="inlineStr">
        <is>
          <t>3. 後測 (第3月)</t>
        </is>
      </c>
      <c r="C29" s="19" t="inlineStr"/>
      <c r="D29" s="19" t="inlineStr"/>
      <c r="E29" s="19" t="inlineStr"/>
      <c r="F29" s="19" t="inlineStr"/>
      <c r="G29" s="19" t="inlineStr"/>
      <c r="H29" s="19" t="inlineStr"/>
      <c r="I29" s="19" t="inlineStr"/>
      <c r="J29" s="19" t="inlineStr"/>
      <c r="K29" s="19" t="inlineStr"/>
      <c r="L29" s="19" t="inlineStr"/>
      <c r="M29" s="20">
        <f>IF(COUNT(C29:L29)&gt;0, SUM(C29:L29), "")</f>
        <v/>
      </c>
      <c r="N29" s="21">
        <f>IF(COUNT(C29:L29)&gt;0, AVERAGE(C29:L29), "")</f>
        <v/>
      </c>
      <c r="O29" s="22">
        <f>IF(N29="","",IF(N29&gt;=4.5,"🟢 獨立完成",IF(N29&gt;=3.5,"🔵 口語提示",IF(N29&gt;=2.0,"🟡 肢體/部分協助","🟠 大量協助"))))</f>
        <v/>
      </c>
      <c r="P29" s="23">
        <f>IF(ISNUMBER(M29), M29/50, "")</f>
        <v/>
      </c>
      <c r="Q29" s="26" t="n"/>
      <c r="R29" s="26" t="n"/>
      <c r="S29" s="26" t="n"/>
    </row>
    <row r="30">
      <c r="A30" s="29" t="inlineStr">
        <is>
          <t>全班平均常模</t>
        </is>
      </c>
      <c r="C30" s="30">
        <f>IFERROR(AVERAGE(C6:C29), "-")</f>
        <v/>
      </c>
      <c r="D30" s="30">
        <f>IFERROR(AVERAGE(D6:D29), "-")</f>
        <v/>
      </c>
      <c r="E30" s="30">
        <f>IFERROR(AVERAGE(E6:E29), "-")</f>
        <v/>
      </c>
      <c r="F30" s="30">
        <f>IFERROR(AVERAGE(F6:F29), "-")</f>
        <v/>
      </c>
      <c r="G30" s="30">
        <f>IFERROR(AVERAGE(G6:G29), "-")</f>
        <v/>
      </c>
      <c r="H30" s="30">
        <f>IFERROR(AVERAGE(H6:H29), "-")</f>
        <v/>
      </c>
      <c r="I30" s="30">
        <f>IFERROR(AVERAGE(I6:I29), "-")</f>
        <v/>
      </c>
      <c r="J30" s="30">
        <f>IFERROR(AVERAGE(J6:J29), "-")</f>
        <v/>
      </c>
      <c r="K30" s="30">
        <f>IFERROR(AVERAGE(K6:K29), "-")</f>
        <v/>
      </c>
      <c r="L30" s="30">
        <f>IFERROR(AVERAGE(L6:L29), "-")</f>
        <v/>
      </c>
      <c r="M30" s="30">
        <f>IFERROR(AVERAGE(M6:M29), "-")</f>
        <v/>
      </c>
      <c r="N30" s="30">
        <f>IFERROR(AVERAGE(N6:N29), "-")</f>
        <v/>
      </c>
      <c r="O30" s="30" t="inlineStr">
        <is>
          <t>-</t>
        </is>
      </c>
      <c r="P30" s="30">
        <f>IFERROR(AVERAGE(P6:P29), "-")</f>
        <v/>
      </c>
      <c r="Q30" s="30">
        <f>IFERROR(AVERAGE(Q6:Q29), "-")</f>
        <v/>
      </c>
      <c r="R30" s="30">
        <f>IFERROR(AVERAGE(R6:R29), "-")</f>
        <v/>
      </c>
      <c r="S30" s="30">
        <f>IFERROR(AVERAGE(S6:S29), "-")</f>
        <v/>
      </c>
    </row>
    <row r="33">
      <c r="A33" s="31" t="inlineStr">
        <is>
          <t>【Q4 檢核指標項目清單參照】</t>
        </is>
      </c>
    </row>
    <row r="34">
      <c r="A34" s="32" t="inlineStr">
        <is>
          <t>指標 1</t>
        </is>
      </c>
      <c r="B34" s="33" t="inlineStr">
        <is>
          <t>1. 能辨識並察覺自己的身體出現不舒服或異常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</row>
    <row r="35">
      <c r="A35" s="32" t="inlineStr">
        <is>
          <t>指標 2</t>
        </is>
      </c>
      <c r="B35" s="33" t="inlineStr">
        <is>
          <t>2. 能準確指出或觸摸自己不舒服的身體部位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</row>
    <row r="36">
      <c r="A36" s="32" t="inlineStr">
        <is>
          <t>指標 3</t>
        </is>
      </c>
      <c r="B36" s="33" t="inlineStr">
        <is>
          <t>3. 能用言語或圖卡表達疼痛（如刺痛、悶痛）或不適感受</t>
        </is>
      </c>
      <c r="C36" s="33" t="n"/>
      <c r="D36" s="33" t="n"/>
      <c r="E36" s="33" t="n"/>
      <c r="F36" s="33" t="n"/>
      <c r="G36" s="33" t="n"/>
      <c r="H36" s="33" t="n"/>
      <c r="I36" s="33" t="n"/>
      <c r="J36" s="33" t="n"/>
      <c r="K36" s="33" t="n"/>
      <c r="L36" s="33" t="n"/>
    </row>
    <row r="37">
      <c r="A37" s="32" t="inlineStr">
        <is>
          <t>指標 4</t>
        </is>
      </c>
      <c r="B37" s="33" t="inlineStr">
        <is>
          <t>4. 能知道身體不適時需第一時間告知支持者或家屬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</row>
    <row r="38">
      <c r="A38" s="32" t="inlineStr">
        <is>
          <t>指標 5</t>
        </is>
      </c>
      <c r="B38" s="33" t="inlineStr">
        <is>
          <t>5. 能說出或指出需要尋求的醫療協助（如看醫生、吃藥）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</row>
    <row r="39">
      <c r="A39" s="32" t="inlineStr">
        <is>
          <t>指標 6</t>
        </is>
      </c>
      <c r="B39" s="33" t="inlineStr">
        <is>
          <t>6. 能正確選擇適合的日用／夜用型衛生用品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</row>
    <row r="40">
      <c r="A40" s="32" t="inlineStr">
        <is>
          <t>指標 7</t>
        </is>
      </c>
      <c r="B40" s="33" t="inlineStr">
        <is>
          <t>7. 能正確完成衛生用品的黏貼與更換完整流程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</row>
    <row r="41">
      <c r="A41" s="32" t="inlineStr">
        <is>
          <t>指標 8</t>
        </is>
      </c>
      <c r="B41" s="33" t="inlineStr">
        <is>
          <t>8. 能妥善包裝並丟棄使用過的衛生用品至垃圾桶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</row>
    <row r="42">
      <c r="A42" s="32" t="inlineStr">
        <is>
          <t>指標 9</t>
        </is>
      </c>
      <c r="B42" s="33" t="inlineStr">
        <is>
          <t>9. 就醫看診時能回答醫師的基本問診問題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</row>
    <row r="43">
      <c r="A43" s="32" t="inlineStr">
        <is>
          <t>指標 10</t>
        </is>
      </c>
      <c r="B43" s="33" t="inlineStr">
        <is>
          <t>10. 能主動向醫師或支持者提出自己的健康疑問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</row>
  </sheetData>
  <mergeCells count="47">
    <mergeCell ref="B35:L35"/>
    <mergeCell ref="Q9:Q11"/>
    <mergeCell ref="A21:A23"/>
    <mergeCell ref="A30:B30"/>
    <mergeCell ref="S9:S11"/>
    <mergeCell ref="A12:A14"/>
    <mergeCell ref="A1:S2"/>
    <mergeCell ref="Q6:Q8"/>
    <mergeCell ref="Q15:Q17"/>
    <mergeCell ref="S15:S17"/>
    <mergeCell ref="S24:S26"/>
    <mergeCell ref="Q27:Q29"/>
    <mergeCell ref="R18:R20"/>
    <mergeCell ref="B43:L43"/>
    <mergeCell ref="R9:R11"/>
    <mergeCell ref="B41:L41"/>
    <mergeCell ref="B39:L39"/>
    <mergeCell ref="A15:A17"/>
    <mergeCell ref="B42:L42"/>
    <mergeCell ref="A24:A26"/>
    <mergeCell ref="A9:A11"/>
    <mergeCell ref="Q18:Q20"/>
    <mergeCell ref="S18:S20"/>
    <mergeCell ref="Q12:Q14"/>
    <mergeCell ref="B38:L38"/>
    <mergeCell ref="A4:A5"/>
    <mergeCell ref="S12:S14"/>
    <mergeCell ref="Q21:Q23"/>
    <mergeCell ref="S21:S23"/>
    <mergeCell ref="B34:L34"/>
    <mergeCell ref="B37:L37"/>
    <mergeCell ref="S27:S29"/>
    <mergeCell ref="Q24:Q26"/>
    <mergeCell ref="A18:A20"/>
    <mergeCell ref="A6:A8"/>
    <mergeCell ref="R6:R8"/>
    <mergeCell ref="R24:R26"/>
    <mergeCell ref="B40:L40"/>
    <mergeCell ref="B36:L36"/>
    <mergeCell ref="B4:B5"/>
    <mergeCell ref="R12:R14"/>
    <mergeCell ref="R15:R17"/>
    <mergeCell ref="R21:R23"/>
    <mergeCell ref="A3:S3"/>
    <mergeCell ref="R27:R29"/>
    <mergeCell ref="S6:S8"/>
    <mergeCell ref="A27:A2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</cols>
  <sheetData>
    <row r="1">
      <c r="A1" s="10" t="inlineStr">
        <is>
          <t>116年度全年度四季前後測成績與進步成效總表 (空白範本)</t>
        </is>
      </c>
    </row>
    <row r="2"/>
    <row r="4">
      <c r="A4" s="34" t="inlineStr">
        <is>
          <t>學員姓名</t>
        </is>
      </c>
      <c r="B4" s="34" t="inlineStr">
        <is>
          <t>Q1前測</t>
        </is>
      </c>
      <c r="C4" s="34" t="inlineStr">
        <is>
          <t>Q1課堂</t>
        </is>
      </c>
      <c r="D4" s="34" t="inlineStr">
        <is>
          <t>Q1後測</t>
        </is>
      </c>
      <c r="E4" s="34" t="inlineStr">
        <is>
          <t>Q2前測</t>
        </is>
      </c>
      <c r="F4" s="34" t="inlineStr">
        <is>
          <t>Q2課堂</t>
        </is>
      </c>
      <c r="G4" s="34" t="inlineStr">
        <is>
          <t>Q2後測</t>
        </is>
      </c>
      <c r="H4" s="34" t="inlineStr">
        <is>
          <t>Q3前測</t>
        </is>
      </c>
      <c r="I4" s="34" t="inlineStr">
        <is>
          <t>Q3課堂</t>
        </is>
      </c>
      <c r="J4" s="34" t="inlineStr">
        <is>
          <t>Q3後測</t>
        </is>
      </c>
      <c r="K4" s="34" t="inlineStr">
        <is>
          <t>Q4前測</t>
        </is>
      </c>
      <c r="L4" s="34" t="inlineStr">
        <is>
          <t>Q4課堂</t>
        </is>
      </c>
      <c r="M4" s="34" t="inlineStr">
        <is>
          <t>Q4後測</t>
        </is>
      </c>
      <c r="N4" s="34" t="inlineStr">
        <is>
          <t>年度年初基準</t>
        </is>
      </c>
      <c r="O4" s="34" t="inlineStr">
        <is>
          <t>年度年末總結</t>
        </is>
      </c>
      <c r="P4" s="34" t="inlineStr">
        <is>
          <t>年度總進步率</t>
        </is>
      </c>
    </row>
    <row r="5">
      <c r="A5" s="19" t="inlineStr">
        <is>
          <t>學員 1</t>
        </is>
      </c>
      <c r="B5" s="19">
        <f>'Q1評量打分'!M6</f>
        <v/>
      </c>
      <c r="C5" s="19">
        <f>'Q1評量打分'!M7</f>
        <v/>
      </c>
      <c r="D5" s="19">
        <f>'Q1評量打分'!M8</f>
        <v/>
      </c>
      <c r="E5" s="19">
        <f>'Q2評量打分'!M6</f>
        <v/>
      </c>
      <c r="F5" s="19">
        <f>'Q2評量打分'!M7</f>
        <v/>
      </c>
      <c r="G5" s="19">
        <f>'Q2評量打分'!M8</f>
        <v/>
      </c>
      <c r="H5" s="19">
        <f>'Q3評量打分'!M6</f>
        <v/>
      </c>
      <c r="I5" s="19">
        <f>'Q3評量打分'!M7</f>
        <v/>
      </c>
      <c r="J5" s="19">
        <f>'Q3評量打分'!M8</f>
        <v/>
      </c>
      <c r="K5" s="19">
        <f>'Q4評量打分'!M6</f>
        <v/>
      </c>
      <c r="L5" s="19">
        <f>'Q4評量打分'!M7</f>
        <v/>
      </c>
      <c r="M5" s="19">
        <f>'Q4評量打分'!M8</f>
        <v/>
      </c>
      <c r="N5" s="35">
        <f>B5</f>
        <v/>
      </c>
      <c r="O5" s="35">
        <f>M5</f>
        <v/>
      </c>
      <c r="P5" s="25">
        <f>IF(AND(ISNUMBER(N5), ISNUMBER(O5), N5&gt;0), (O5-N5)/N5, "")</f>
        <v/>
      </c>
    </row>
    <row r="6">
      <c r="A6" s="19" t="inlineStr">
        <is>
          <t>學員 2</t>
        </is>
      </c>
      <c r="B6" s="19">
        <f>'Q1評量打分'!M9</f>
        <v/>
      </c>
      <c r="C6" s="19">
        <f>'Q1評量打分'!M10</f>
        <v/>
      </c>
      <c r="D6" s="19">
        <f>'Q1評量打分'!M11</f>
        <v/>
      </c>
      <c r="E6" s="19">
        <f>'Q2評量打分'!M9</f>
        <v/>
      </c>
      <c r="F6" s="19">
        <f>'Q2評量打分'!M10</f>
        <v/>
      </c>
      <c r="G6" s="19">
        <f>'Q2評量打分'!M11</f>
        <v/>
      </c>
      <c r="H6" s="19">
        <f>'Q3評量打分'!M9</f>
        <v/>
      </c>
      <c r="I6" s="19">
        <f>'Q3評量打分'!M10</f>
        <v/>
      </c>
      <c r="J6" s="19">
        <f>'Q3評量打分'!M11</f>
        <v/>
      </c>
      <c r="K6" s="19">
        <f>'Q4評量打分'!M9</f>
        <v/>
      </c>
      <c r="L6" s="19">
        <f>'Q4評量打分'!M10</f>
        <v/>
      </c>
      <c r="M6" s="19">
        <f>'Q4評量打分'!M11</f>
        <v/>
      </c>
      <c r="N6" s="35">
        <f>B6</f>
        <v/>
      </c>
      <c r="O6" s="35">
        <f>M6</f>
        <v/>
      </c>
      <c r="P6" s="25">
        <f>IF(AND(ISNUMBER(N6), ISNUMBER(O6), N6&gt;0), (O6-N6)/N6, "")</f>
        <v/>
      </c>
    </row>
    <row r="7">
      <c r="A7" s="19" t="inlineStr">
        <is>
          <t>學員 3</t>
        </is>
      </c>
      <c r="B7" s="19">
        <f>'Q1評量打分'!M12</f>
        <v/>
      </c>
      <c r="C7" s="19">
        <f>'Q1評量打分'!M13</f>
        <v/>
      </c>
      <c r="D7" s="19">
        <f>'Q1評量打分'!M14</f>
        <v/>
      </c>
      <c r="E7" s="19">
        <f>'Q2評量打分'!M12</f>
        <v/>
      </c>
      <c r="F7" s="19">
        <f>'Q2評量打分'!M13</f>
        <v/>
      </c>
      <c r="G7" s="19">
        <f>'Q2評量打分'!M14</f>
        <v/>
      </c>
      <c r="H7" s="19">
        <f>'Q3評量打分'!M12</f>
        <v/>
      </c>
      <c r="I7" s="19">
        <f>'Q3評量打分'!M13</f>
        <v/>
      </c>
      <c r="J7" s="19">
        <f>'Q3評量打分'!M14</f>
        <v/>
      </c>
      <c r="K7" s="19">
        <f>'Q4評量打分'!M12</f>
        <v/>
      </c>
      <c r="L7" s="19">
        <f>'Q4評量打分'!M13</f>
        <v/>
      </c>
      <c r="M7" s="19">
        <f>'Q4評量打分'!M14</f>
        <v/>
      </c>
      <c r="N7" s="35">
        <f>B7</f>
        <v/>
      </c>
      <c r="O7" s="35">
        <f>M7</f>
        <v/>
      </c>
      <c r="P7" s="25">
        <f>IF(AND(ISNUMBER(N7), ISNUMBER(O7), N7&gt;0), (O7-N7)/N7, "")</f>
        <v/>
      </c>
    </row>
    <row r="8">
      <c r="A8" s="19" t="inlineStr">
        <is>
          <t>學員 4</t>
        </is>
      </c>
      <c r="B8" s="19">
        <f>'Q1評量打分'!M15</f>
        <v/>
      </c>
      <c r="C8" s="19">
        <f>'Q1評量打分'!M16</f>
        <v/>
      </c>
      <c r="D8" s="19">
        <f>'Q1評量打分'!M17</f>
        <v/>
      </c>
      <c r="E8" s="19">
        <f>'Q2評量打分'!M15</f>
        <v/>
      </c>
      <c r="F8" s="19">
        <f>'Q2評量打分'!M16</f>
        <v/>
      </c>
      <c r="G8" s="19">
        <f>'Q2評量打分'!M17</f>
        <v/>
      </c>
      <c r="H8" s="19">
        <f>'Q3評量打分'!M15</f>
        <v/>
      </c>
      <c r="I8" s="19">
        <f>'Q3評量打分'!M16</f>
        <v/>
      </c>
      <c r="J8" s="19">
        <f>'Q3評量打分'!M17</f>
        <v/>
      </c>
      <c r="K8" s="19">
        <f>'Q4評量打分'!M15</f>
        <v/>
      </c>
      <c r="L8" s="19">
        <f>'Q4評量打分'!M16</f>
        <v/>
      </c>
      <c r="M8" s="19">
        <f>'Q4評量打分'!M17</f>
        <v/>
      </c>
      <c r="N8" s="35">
        <f>B8</f>
        <v/>
      </c>
      <c r="O8" s="35">
        <f>M8</f>
        <v/>
      </c>
      <c r="P8" s="25">
        <f>IF(AND(ISNUMBER(N8), ISNUMBER(O8), N8&gt;0), (O8-N8)/N8, "")</f>
        <v/>
      </c>
    </row>
    <row r="9">
      <c r="A9" s="19" t="inlineStr">
        <is>
          <t>學員 5</t>
        </is>
      </c>
      <c r="B9" s="19">
        <f>'Q1評量打分'!M18</f>
        <v/>
      </c>
      <c r="C9" s="19">
        <f>'Q1評量打分'!M19</f>
        <v/>
      </c>
      <c r="D9" s="19">
        <f>'Q1評量打分'!M20</f>
        <v/>
      </c>
      <c r="E9" s="19">
        <f>'Q2評量打分'!M18</f>
        <v/>
      </c>
      <c r="F9" s="19">
        <f>'Q2評量打分'!M19</f>
        <v/>
      </c>
      <c r="G9" s="19">
        <f>'Q2評量打分'!M20</f>
        <v/>
      </c>
      <c r="H9" s="19">
        <f>'Q3評量打分'!M18</f>
        <v/>
      </c>
      <c r="I9" s="19">
        <f>'Q3評量打分'!M19</f>
        <v/>
      </c>
      <c r="J9" s="19">
        <f>'Q3評量打分'!M20</f>
        <v/>
      </c>
      <c r="K9" s="19">
        <f>'Q4評量打分'!M18</f>
        <v/>
      </c>
      <c r="L9" s="19">
        <f>'Q4評量打分'!M19</f>
        <v/>
      </c>
      <c r="M9" s="19">
        <f>'Q4評量打分'!M20</f>
        <v/>
      </c>
      <c r="N9" s="35">
        <f>B9</f>
        <v/>
      </c>
      <c r="O9" s="35">
        <f>M9</f>
        <v/>
      </c>
      <c r="P9" s="25">
        <f>IF(AND(ISNUMBER(N9), ISNUMBER(O9), N9&gt;0), (O9-N9)/N9, "")</f>
        <v/>
      </c>
    </row>
    <row r="10">
      <c r="A10" s="19" t="inlineStr">
        <is>
          <t>學員 6</t>
        </is>
      </c>
      <c r="B10" s="19">
        <f>'Q1評量打分'!M21</f>
        <v/>
      </c>
      <c r="C10" s="19">
        <f>'Q1評量打分'!M22</f>
        <v/>
      </c>
      <c r="D10" s="19">
        <f>'Q1評量打分'!M23</f>
        <v/>
      </c>
      <c r="E10" s="19">
        <f>'Q2評量打分'!M21</f>
        <v/>
      </c>
      <c r="F10" s="19">
        <f>'Q2評量打分'!M22</f>
        <v/>
      </c>
      <c r="G10" s="19">
        <f>'Q2評量打分'!M23</f>
        <v/>
      </c>
      <c r="H10" s="19">
        <f>'Q3評量打分'!M21</f>
        <v/>
      </c>
      <c r="I10" s="19">
        <f>'Q3評量打分'!M22</f>
        <v/>
      </c>
      <c r="J10" s="19">
        <f>'Q3評量打分'!M23</f>
        <v/>
      </c>
      <c r="K10" s="19">
        <f>'Q4評量打分'!M21</f>
        <v/>
      </c>
      <c r="L10" s="19">
        <f>'Q4評量打分'!M22</f>
        <v/>
      </c>
      <c r="M10" s="19">
        <f>'Q4評量打分'!M23</f>
        <v/>
      </c>
      <c r="N10" s="35">
        <f>B10</f>
        <v/>
      </c>
      <c r="O10" s="35">
        <f>M10</f>
        <v/>
      </c>
      <c r="P10" s="25">
        <f>IF(AND(ISNUMBER(N10), ISNUMBER(O10), N10&gt;0), (O10-N10)/N10, "")</f>
        <v/>
      </c>
    </row>
    <row r="11">
      <c r="A11" s="19" t="inlineStr">
        <is>
          <t>學員 7</t>
        </is>
      </c>
      <c r="B11" s="19">
        <f>'Q1評量打分'!M24</f>
        <v/>
      </c>
      <c r="C11" s="19">
        <f>'Q1評量打分'!M25</f>
        <v/>
      </c>
      <c r="D11" s="19">
        <f>'Q1評量打分'!M26</f>
        <v/>
      </c>
      <c r="E11" s="19">
        <f>'Q2評量打分'!M24</f>
        <v/>
      </c>
      <c r="F11" s="19">
        <f>'Q2評量打分'!M25</f>
        <v/>
      </c>
      <c r="G11" s="19">
        <f>'Q2評量打分'!M26</f>
        <v/>
      </c>
      <c r="H11" s="19">
        <f>'Q3評量打分'!M24</f>
        <v/>
      </c>
      <c r="I11" s="19">
        <f>'Q3評量打分'!M25</f>
        <v/>
      </c>
      <c r="J11" s="19">
        <f>'Q3評量打分'!M26</f>
        <v/>
      </c>
      <c r="K11" s="19">
        <f>'Q4評量打分'!M24</f>
        <v/>
      </c>
      <c r="L11" s="19">
        <f>'Q4評量打分'!M25</f>
        <v/>
      </c>
      <c r="M11" s="19">
        <f>'Q4評量打分'!M26</f>
        <v/>
      </c>
      <c r="N11" s="35">
        <f>B11</f>
        <v/>
      </c>
      <c r="O11" s="35">
        <f>M11</f>
        <v/>
      </c>
      <c r="P11" s="25">
        <f>IF(AND(ISNUMBER(N11), ISNUMBER(O11), N11&gt;0), (O11-N11)/N11, "")</f>
        <v/>
      </c>
    </row>
    <row r="12">
      <c r="A12" s="19" t="inlineStr">
        <is>
          <t>學員 8</t>
        </is>
      </c>
      <c r="B12" s="19">
        <f>'Q1評量打分'!M27</f>
        <v/>
      </c>
      <c r="C12" s="19">
        <f>'Q1評量打分'!M28</f>
        <v/>
      </c>
      <c r="D12" s="19">
        <f>'Q1評量打分'!M29</f>
        <v/>
      </c>
      <c r="E12" s="19">
        <f>'Q2評量打分'!M27</f>
        <v/>
      </c>
      <c r="F12" s="19">
        <f>'Q2評量打分'!M28</f>
        <v/>
      </c>
      <c r="G12" s="19">
        <f>'Q2評量打分'!M29</f>
        <v/>
      </c>
      <c r="H12" s="19">
        <f>'Q3評量打分'!M27</f>
        <v/>
      </c>
      <c r="I12" s="19">
        <f>'Q3評量打分'!M28</f>
        <v/>
      </c>
      <c r="J12" s="19">
        <f>'Q3評量打分'!M29</f>
        <v/>
      </c>
      <c r="K12" s="19">
        <f>'Q4評量打分'!M27</f>
        <v/>
      </c>
      <c r="L12" s="19">
        <f>'Q4評量打分'!M28</f>
        <v/>
      </c>
      <c r="M12" s="19">
        <f>'Q4評量打分'!M29</f>
        <v/>
      </c>
      <c r="N12" s="35">
        <f>B12</f>
        <v/>
      </c>
      <c r="O12" s="35">
        <f>M12</f>
        <v/>
      </c>
      <c r="P12" s="25">
        <f>IF(AND(ISNUMBER(N12), ISNUMBER(O12), N12&gt;0), (O12-N12)/N12, "")</f>
        <v/>
      </c>
    </row>
  </sheetData>
  <mergeCells count="1">
    <mergeCell ref="A1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2026-08-15T07:42:04Z</dcterms:created>
  <dcterms:modified xsi:type="dcterms:W3CDTF">2026-08-15T07:42:05Z</dcterms:modified>
</cp:coreProperties>
</file>